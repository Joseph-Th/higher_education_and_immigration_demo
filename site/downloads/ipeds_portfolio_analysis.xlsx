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d0c9559d2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6740c7f3f8b4c7b"/>
    <x:sheet xmlns:r="http://schemas.openxmlformats.org/officeDocument/2006/relationships" name="National Trend" sheetId="2" r:id="R46ceabdd5be54b2c"/>
    <x:sheet xmlns:r="http://schemas.openxmlformats.org/officeDocument/2006/relationships" name="State Review" sheetId="3" r:id="R579fa90e8f334717"/>
    <x:sheet xmlns:r="http://schemas.openxmlformats.org/officeDocument/2006/relationships" name="Institution Control" sheetId="4" r:id="R24ee391c203b49af"/>
    <x:sheet xmlns:r="http://schemas.openxmlformats.org/officeDocument/2006/relationships" name="QA &amp; Benchmark" sheetId="5" r:id="Rd75e7a53ac8c419a"/>
    <x:sheet xmlns:r="http://schemas.openxmlformats.org/officeDocument/2006/relationships" name="Source Library" sheetId="6" r:id="R688c3f274a61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"/>
    <x:numFmt numFmtId="202" formatCode="0.0"/>
    <x:numFmt numFmtId="203" formatCode="0.0000"/>
    <x:numFmt numFmtId="204" formatCode="0.00%"/>
    <x:numFmt numFmtId="205" formatCode="+#,##0;-#,##0;0"/>
    <x:numFmt numFmtId="206" formatCode="0"/>
    <x:numFmt numFmtId="207" formatCode="0.0%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526274"/>
      <x:name val="Carlito"/>
    </x:font>
    <x:font>
      <x:b/>
      <x:sz val="11"/>
      <x:color rgb="FF526274"/>
      <x:name val="Carlito"/>
    </x:font>
    <x:font>
      <x:b/>
      <x:sz val="18"/>
      <x:color rgb="FF14253A"/>
      <x:name val="Carlito"/>
    </x:font>
    <x:font>
      <x:b/>
      <x:sz val="13"/>
      <x:color rgb="FFFFFFFF"/>
      <x:name val="Carlito"/>
    </x:font>
    <x:font>
      <x:b/>
      <x:sz val="11"/>
      <x:color rgb="FF14253A"/>
      <x:name val="Carlito"/>
    </x:font>
    <x:font>
      <x:sz val="11"/>
      <x:color rgb="FF1425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63C"/>
      </x:patternFill>
    </x:fill>
    <x:fill>
      <x:patternFill patternType="solid">
        <x:fgColor rgb="FFFFFFFF"/>
      </x:patternFill>
    </x:fill>
    <x:fill>
      <x:patternFill patternType="solid">
        <x:fgColor rgb="FFF0F4F7"/>
      </x:patternFill>
    </x:fill>
    <x:fill>
      <x:patternFill patternType="solid">
        <x:fgColor rgb="FF0B776E"/>
      </x:patternFill>
    </x:fill>
    <x:fill>
      <x:patternFill patternType="solid">
        <x:fgColor rgb="FFFFF7E6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206" fontId="0" fillId="0" borderId="0" xfId="0" applyNumberFormat="1" applyFont="1" applyFill="1" applyBorder="1" applyAlignment="1">
      <x:alignment wrapText="0"/>
    </x:xf>
    <x:xf numFmtId="206" fontId="0" fillId="0" borderId="1" xfId="0" applyNumberFormat="1" applyFont="1" applyFill="1" applyBorder="1" applyAlignment="1">
      <x:alignment wrapText="0"/>
    </x:xf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0" fontId="5" fillId="0" borderId="10" xfId="0" applyNumberFormat="1" applyFont="1" applyFill="1" applyBorder="1" applyAlignment="1">
      <x:alignment vertical="center"/>
    </x:xf>
    <x:xf numFmtId="200" fontId="5" fillId="0" borderId="11" xfId="0" applyNumberFormat="1" applyFont="1" applyFill="1" applyBorder="1" applyAlignment="1">
      <x:alignment vertical="center"/>
    </x:xf>
    <x:xf numFmtId="200" fontId="5" fillId="0" borderId="12" xfId="0" applyNumberFormat="1" applyFont="1" applyFill="1" applyBorder="1" applyAlignment="1">
      <x:alignment vertical="center"/>
    </x:xf>
    <x:xf numFmtId="200" fontId="5" fillId="0" borderId="1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4" fontId="5" fillId="0" borderId="5" xfId="0" applyNumberFormat="1" applyFont="1" applyFill="1" applyBorder="1" applyAlignment="1">
      <x:alignment vertical="center"/>
    </x:xf>
    <x:xf numFmtId="204" fontId="5" fillId="0" borderId="6" xfId="0" applyNumberFormat="1" applyFont="1" applyFill="1" applyBorder="1" applyAlignment="1">
      <x:alignment vertical="center"/>
    </x:xf>
    <x:xf numFmtId="204" fontId="5" fillId="0" borderId="7" xfId="0" applyNumberFormat="1" applyFont="1" applyFill="1" applyBorder="1" applyAlignment="1">
      <x:alignment vertical="center"/>
    </x:xf>
    <x:xf numFmtId="204" fontId="5" fillId="0" borderId="10" xfId="0" applyNumberFormat="1" applyFont="1" applyFill="1" applyBorder="1" applyAlignment="1">
      <x:alignment vertical="center"/>
    </x:xf>
    <x:xf numFmtId="204" fontId="5" fillId="0" borderId="11" xfId="0" applyNumberFormat="1" applyFont="1" applyFill="1" applyBorder="1" applyAlignment="1">
      <x:alignment vertical="center"/>
    </x:xf>
    <x:xf numFmtId="204" fontId="5" fillId="0" borderId="12" xfId="0" applyNumberFormat="1" applyFont="1" applyFill="1" applyBorder="1" applyAlignment="1">
      <x:alignment vertical="center"/>
    </x:xf>
    <x:xf numFmtId="204" fontId="5" fillId="0" borderId="13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5" fontId="5" fillId="0" borderId="5" xfId="0" applyNumberFormat="1" applyFont="1" applyFill="1" applyBorder="1" applyAlignment="1">
      <x:alignment vertical="center"/>
    </x:xf>
    <x:xf numFmtId="205" fontId="5" fillId="0" borderId="6" xfId="0" applyNumberFormat="1" applyFont="1" applyFill="1" applyBorder="1" applyAlignment="1">
      <x:alignment vertical="center"/>
    </x:xf>
    <x:xf numFmtId="205" fontId="5" fillId="0" borderId="7" xfId="0" applyNumberFormat="1" applyFont="1" applyFill="1" applyBorder="1" applyAlignment="1">
      <x:alignment vertical="center"/>
    </x:xf>
    <x:xf numFmtId="205" fontId="5" fillId="0" borderId="10" xfId="0" applyNumberFormat="1" applyFont="1" applyFill="1" applyBorder="1" applyAlignment="1">
      <x:alignment vertical="center"/>
    </x:xf>
    <x:xf numFmtId="205" fontId="5" fillId="0" borderId="11" xfId="0" applyNumberFormat="1" applyFont="1" applyFill="1" applyBorder="1" applyAlignment="1">
      <x:alignment vertical="center"/>
    </x:xf>
    <x:xf numFmtId="205" fontId="5" fillId="0" borderId="12" xfId="0" applyNumberFormat="1" applyFont="1" applyFill="1" applyBorder="1" applyAlignment="1">
      <x:alignment vertical="center"/>
    </x:xf>
    <x:xf numFmtId="205" fontId="5" fillId="0" borderId="13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/>
    <x:xf numFmtId="0" fontId="6" fillId="5" borderId="14" xfId="0" applyNumberFormat="1" applyFont="1" applyFill="1" applyBorder="1"/>
    <x:xf numFmtId="0" fontId="6" fillId="5" borderId="3" xfId="0" applyNumberFormat="1" applyFont="1" applyFill="1" applyBorder="1"/>
    <x:xf numFmtId="0" fontId="7" fillId="4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15" xfId="0" applyNumberFormat="1" applyFont="1" applyFill="1" applyBorder="1"/>
    <x:xf numFmtId="206" fontId="0" fillId="0" borderId="15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16" xfId="0" applyNumberFormat="1" applyFont="1" applyFill="1" applyBorder="1"/>
    <x:xf numFmtId="0" fontId="6" fillId="5" borderId="9" xfId="0" applyNumberFormat="1" applyFont="1" applyFill="1" applyBorder="1"/>
    <x:xf numFmtId="0" fontId="7" fillId="4" borderId="10" xfId="0" applyNumberFormat="1" applyFont="1" applyFill="1" applyBorder="1"/>
    <x:xf numFmtId="0" fontId="0" fillId="0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7" xfId="0" applyNumberFormat="1" applyFont="1" applyFill="1" applyBorder="1"/>
    <x:xf numFmtId="206" fontId="0" fillId="0" borderId="17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/>
    <x:xf numFmtId="0" fontId="4" fillId="4" borderId="4" xfId="0" applyNumberFormat="1" applyFont="1" applyFill="1" applyBorder="1"/>
    <x:xf numFmtId="0" fontId="8" fillId="4" borderId="5" xfId="0" applyNumberFormat="1" applyFont="1" applyFill="1" applyBorder="1" applyAlignment="1">
      <x:alignment vertical="center" wrapText="1"/>
    </x:xf>
    <x:xf numFmtId="204" fontId="0" fillId="0" borderId="15" xfId="0" applyNumberFormat="1" applyFont="1" applyFill="1" applyBorder="1"/>
    <x:xf numFmtId="0" fontId="8" fillId="4" borderId="15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67647"/>
      </x:font>
      <x:fill>
        <x:patternFill patternType="solid">
          <x:bgColor rgb="FFE8F5F2"/>
        </x:patternFill>
      </x:fill>
    </x:dxf>
    <x:dxf>
      <x:font>
        <x:b/>
        <x:color rgb="FF067647"/>
      </x:font>
      <x:fill>
        <x:patternFill patternType="solid">
          <x:bgColor rgb="FFE8F5F2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67647"/>
      </x:font>
      <x:fill>
        <x:patternFill patternType="solid">
          <x:bgColor rgb="FFE8F5F2"/>
        </x:patternFill>
      </x:fill>
    </x:dxf>
    <x:dxf>
      <x:font>
        <x:b/>
        <x:color rgb="FF067647"/>
      </x:font>
      <x:fill>
        <x:patternFill patternType="solid">
          <x:bgColor rgb="FFE8F5F2"/>
        </x:patternFill>
      </x:fill>
    </x:dxf>
    <x:dxf>
      <x:font>
        <x:b/>
        <x:color rgb="FF067647"/>
      </x:font>
      <x:fill>
        <x:patternFill patternType="solid">
          <x:bgColor rgb="FFE8F5F2"/>
        </x:patternFill>
      </x:fill>
    </x:dxf>
    <x:dxf>
      <x:font>
        <x:b/>
        <x:color rgb="FF067647"/>
      </x:font>
      <x:fill>
        <x:patternFill patternType="solid">
          <x:bgColor rgb="FFE8F5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f57fabb31442e" /><Relationship Type="http://schemas.openxmlformats.org/officeDocument/2006/relationships/theme" Target="/xl/theme/theme1.xml" Id="R7b7515010cc14832" /><Relationship Type="http://schemas.openxmlformats.org/officeDocument/2006/relationships/sharedStrings" Target="/xl/sharedStrings.xml" Id="Rf34e5a4ecaf0479a" /><Relationship Type="http://schemas.openxmlformats.org/officeDocument/2006/relationships/worksheet" Target="/xl/worksheets/sheet1.xml" Id="R06740c7f3f8b4c7b" /><Relationship Type="http://schemas.openxmlformats.org/officeDocument/2006/relationships/worksheet" Target="/xl/worksheets/sheet2.xml" Id="R46ceabdd5be54b2c" /><Relationship Type="http://schemas.openxmlformats.org/officeDocument/2006/relationships/worksheet" Target="/xl/worksheets/sheet3.xml" Id="R579fa90e8f334717" /><Relationship Type="http://schemas.openxmlformats.org/officeDocument/2006/relationships/worksheet" Target="/xl/worksheets/sheet4.xml" Id="R24ee391c203b49af" /><Relationship Type="http://schemas.openxmlformats.org/officeDocument/2006/relationships/worksheet" Target="/xl/worksheets/sheet5.xml" Id="Rd75e7a53ac8c419a" /><Relationship Type="http://schemas.openxmlformats.org/officeDocument/2006/relationships/worksheet" Target="/xl/worksheets/sheet6.xml" Id="R688c3f274a614b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5ff527dd7e401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cat>
            <c:strRef>
              <c:f>'National Trend'!$A$2:$A$11</c:f>
              <c:strCache>
                <c:ptCount val="0"/>
              </c:strCache>
            </c:strRef>
          </c:cat>
          <c:val>
            <c:numRef>
              <c:f>'National Trend'!$D$2:$D$11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Undergraduate</c:v>
          </c:tx>
          <c:marker>
            <c:symbol val="none"/>
          </c:marker>
          <c:cat>
            <c:strRef>
              <c:f>'National Trend'!$A$2:$A$11</c:f>
              <c:strCache>
                <c:ptCount val="0"/>
              </c:strCache>
            </c:strRef>
          </c:cat>
          <c:val>
            <c:numRef>
              <c:f>'National Trend'!$H$2:$H$11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Graduate</c:v>
          </c:tx>
          <c:marker>
            <c:symbol val="none"/>
          </c:marker>
          <c:cat>
            <c:strRef>
              <c:f>'National Trend'!$A$2:$A$11</c:f>
              <c:strCache>
                <c:ptCount val="0"/>
              </c:strCache>
            </c:strRef>
          </c:cat>
          <c:val>
            <c:numRef>
              <c:f>'National Trend'!$J$2:$J$11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5ff527dd7e40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ationalTrendTable" displayName="NationalTrendTable" ref="A1:J11" headerRowCount="1" totalsRowCount="0" totalsRowShown="0">
  <x:tableColumns count="10">
    <x:tableColumn id="1" name="year"/>
    <x:tableColumn id="2" name="institution_count"/>
    <x:tableColumn id="3" name="total_enrollment"/>
    <x:tableColumn id="4" name="nonresident_enrollment"/>
    <x:tableColumn id="5" name="nonresident_share_pct"/>
    <x:tableColumn id="6" name="yoy_nonresident_pct"/>
    <x:tableColumn id="7" name="undergraduate_total"/>
    <x:tableColumn id="8" name="undergraduate_nonresident"/>
    <x:tableColumn id="9" name="graduate_total"/>
    <x:tableColumn id="10" name="graduate_nonresid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ReviewTable" displayName="StateReviewTable" ref="A1:J52" headerRowCount="1" totalsRowCount="0" totalsRowShown="0">
  <x:tableColumns count="10">
    <x:tableColumn id="1" name="state"/>
    <x:tableColumn id="2" name="nonresident_2015"/>
    <x:tableColumn id="3" name="nonresident_2019"/>
    <x:tableColumn id="4" name="nonresident_2024"/>
    <x:tableColumn id="5" name="change_2015_2024"/>
    <x:tableColumn id="6" name="change_pct_2015_2024"/>
    <x:tableColumn id="7" name="change_2019_2024"/>
    <x:tableColumn id="8" name="change_pct_2019_2024"/>
    <x:tableColumn id="9" name="recovery_status"/>
    <x:tableColumn id="10" name="nonresident_share_pct_2024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TrendTable" displayName="ControlTrendTable" ref="A1:H31" headerRowCount="1" totalsRowCount="0" totalsRowShown="0">
  <x:tableColumns count="8">
    <x:tableColumn id="1" name="year"/>
    <x:tableColumn id="2" name="control"/>
    <x:tableColumn id="3" name="institution_count"/>
    <x:tableColumn id="4" name="total_enrollment"/>
    <x:tableColumn id="5" name="nonresident_enrollment"/>
    <x:tableColumn id="6" name="nonresident_share_pct"/>
    <x:tableColumn id="7" name="undergraduate_nonresident"/>
    <x:tableColumn id="8" name="graduate_nonresid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nchmarkAuditTable" displayName="BenchmarkAuditTable" ref="A13:J37" headerRowCount="1" totalsRowCount="0" totalsRowShown="0">
  <x:tableColumns count="10">
    <x:tableColumn id="1" name="year"/>
    <x:tableColumn id="2" name="metric"/>
    <x:tableColumn id="3" name="current_ipeds_value"/>
    <x:tableColumn id="4" name="digest_published_thousands"/>
    <x:tableColumn id="5" name="digest_approx_students"/>
    <x:tableColumn id="6" name="difference_students"/>
    <x:tableColumn id="7" name="difference_pct"/>
    <x:tableColumn id="8" name="consistency_threshold_pct"/>
    <x:tableColumn id="9" name="status"/>
    <x:tableColumn id="10" name="digest_release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LibraryTable" displayName="SourceLibraryTable" ref="A1:J12" headerRowCount="1" totalsRowCount="0" totalsRowShown="0">
  <x:tableColumns count="10">
    <x:tableColumn id="1" name="resource_id"/>
    <x:tableColumn id="2" name="title"/>
    <x:tableColumn id="3" name="publisher"/>
    <x:tableColumn id="4" name="resource_type"/>
    <x:tableColumn id="5" name="scope"/>
    <x:tableColumn id="6" name="update_pattern"/>
    <x:tableColumn id="7" name="project_role"/>
    <x:tableColumn id="8" name="url"/>
    <x:tableColumn id="9" name="last_checked"/>
    <x:tableColumn id="10" name="status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02d283af4549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3c20038f394b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56042c633b4d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d70c582c1246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6687334d3d40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245e60da9343c0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1" t="str">
        <x:v>U.S. Nonresident Students in Higher Education — Excel Review Workbook</x:v>
      </x:c>
      <x:c r="B1" s="31"/>
      <x:c r="C1" s="31"/>
      <x:c r="D1" s="31"/>
      <x:c r="E1" s="31"/>
      <x:c r="F1" s="31"/>
      <x:c r="G1" s="31"/>
      <x:c r="H1" s="31"/>
    </x:row>
    <x:row r="2" ht="28" customHeight="1">
      <x:c r="A2" s="31"/>
      <x:c r="B2" s="31"/>
      <x:c r="C2" s="31"/>
      <x:c r="D2" s="31"/>
      <x:c r="E2" s="31"/>
      <x:c r="F2" s="31"/>
      <x:c r="G2" s="31"/>
      <x:c r="H2" s="31"/>
    </x:row>
    <x:row r="3" ht="22" customHeight="1">
      <x:c r="A3" s="35" t="str">
        <x:v>Portfolio analysis using NCES/IPEDS Fall Enrollment data, 2015–2024. Latest year is provisional.</x:v>
      </x:c>
      <x:c r="B3" s="35"/>
      <x:c r="C3" s="35"/>
      <x:c r="D3" s="35"/>
      <x:c r="E3" s="35"/>
      <x:c r="F3" s="35"/>
      <x:c r="G3" s="35"/>
      <x:c r="H3" s="35"/>
    </x:row>
    <x:row r="5">
      <x:c r="A5" s="92" t="str">
        <x:v>2024 U.S. nonresident enrollment</x:v>
      </x:c>
      <x:c r="B5" s="93"/>
      <x:c r="C5" s="92" t="str">
        <x:v>Share of total enrollment</x:v>
      </x:c>
      <x:c r="D5" s="93"/>
      <x:c r="E5" s="92" t="str">
        <x:v>2023→2024 change</x:v>
      </x:c>
      <x:c r="F5" s="93"/>
      <x:c r="G5" s="92" t="str">
        <x:v>2015→2024 change</x:v>
      </x:c>
      <x:c r="H5" s="93"/>
    </x:row>
    <x:row r="6">
      <x:c r="A6" s="94" t="n">
        <x:f>'National Trend'!D11</x:f>
        <x:v>1044137</x:v>
      </x:c>
      <x:c r="B6" s="95"/>
      <x:c r="C6" s="104" t="n">
        <x:f>'National Trend'!E11/100</x:f>
        <x:v>0.053111</x:v>
      </x:c>
      <x:c r="D6" s="105"/>
      <x:c r="E6" s="112" t="n">
        <x:f>'National Trend'!D11-'National Trend'!D10</x:f>
        <x:v>29539</x:v>
      </x:c>
      <x:c r="F6" s="113"/>
      <x:c r="G6" s="112" t="n">
        <x:f>'National Trend'!D11-'National Trend'!D2</x:f>
        <x:v>63400</x:v>
      </x:c>
      <x:c r="H6" s="113"/>
    </x:row>
    <x:row r="7">
      <x:c r="A7" s="96"/>
      <x:c r="B7" s="97"/>
      <x:c r="C7" s="106"/>
      <x:c r="D7" s="107"/>
      <x:c r="E7" s="114"/>
      <x:c r="F7" s="115"/>
      <x:c r="G7" s="114"/>
      <x:c r="H7" s="115"/>
    </x:row>
    <x:row r="10">
      <x:c r="A10" s="120" t="str">
        <x:v>Analytical checks and findings</x:v>
      </x:c>
      <x:c r="B10" s="121"/>
      <x:c r="C10" s="121"/>
      <x:c r="D10" s="121"/>
      <x:c r="E10" s="121"/>
      <x:c r="F10" s="121"/>
      <x:c r="G10" s="121"/>
      <x:c r="H10" s="122"/>
    </x:row>
    <x:row r="11">
      <x:c r="A11" s="123" t="str">
        <x:v>Graduate change, 2015→2024</x:v>
      </x:c>
      <x:c r="B11" s="56"/>
      <x:c r="C11" s="56"/>
      <x:c r="D11" s="58" t="n">
        <x:f>'National Trend'!J11-'National Trend'!J2</x:f>
        <x:v>138765</x:v>
      </x:c>
      <x:c r="E11" s="124"/>
      <x:c r="F11" s="124"/>
      <x:c r="G11" s="124"/>
      <x:c r="H11" s="125"/>
    </x:row>
    <x:row r="12">
      <x:c r="A12" s="123" t="str">
        <x:v>Undergraduate change, 2015→2024</x:v>
      </x:c>
      <x:c r="B12" s="56"/>
      <x:c r="C12" s="56"/>
      <x:c r="D12" s="58" t="n">
        <x:f>'National Trend'!H11-'National Trend'!H2</x:f>
        <x:v>-75365</x:v>
      </x:c>
      <x:c r="E12" s="124"/>
      <x:c r="F12" s="124"/>
      <x:c r="G12" s="124"/>
      <x:c r="H12" s="125"/>
    </x:row>
    <x:row r="13">
      <x:c r="A13" s="123" t="str">
        <x:v>States/DC at or above 2019</x:v>
      </x:c>
      <x:c r="B13" s="56"/>
      <x:c r="C13" s="56"/>
      <x:c r="D13" s="60" t="n">
        <x:f>COUNTIF('State Review'!I2:I52,"At or above 2019")</x:f>
        <x:v>33</x:v>
      </x:c>
      <x:c r="E13" s="124"/>
      <x:c r="F13" s="124"/>
      <x:c r="G13" s="124"/>
      <x:c r="H13" s="125"/>
    </x:row>
    <x:row r="14">
      <x:c r="A14" s="123" t="str">
        <x:v>States/DC below 2019</x:v>
      </x:c>
      <x:c r="B14" s="56"/>
      <x:c r="C14" s="56"/>
      <x:c r="D14" s="60" t="n">
        <x:f>COUNTIF('State Review'!I2:I52,"Below 2019")</x:f>
        <x:v>18</x:v>
      </x:c>
      <x:c r="E14" s="124"/>
      <x:c r="F14" s="124"/>
      <x:c r="G14" s="124"/>
      <x:c r="H14" s="125"/>
    </x:row>
    <x:row r="15">
      <x:c r="A15" s="123" t="str">
        <x:v>Largest post-2019 state gain</x:v>
      </x:c>
      <x:c r="B15" s="56"/>
      <x:c r="C15" s="56"/>
      <x:c r="D15" s="124" t="str">
        <x:f>INDEX('State Review'!A2:A52,MATCH(MAX('State Review'!G2:G52),'State Review'!G2:G52,0))&amp;" ("&amp;TEXT(MAX('State Review'!G2:G52),"+#,##0;-#,##0;0")&amp;")"</x:f>
        <x:v>IL (+14,464)</x:v>
      </x:c>
      <x:c r="E15" s="124"/>
      <x:c r="F15" s="124"/>
      <x:c r="G15" s="124"/>
      <x:c r="H15" s="125"/>
    </x:row>
    <x:row r="16">
      <x:c r="A16" s="123" t="str">
        <x:v>Largest post-2019 state shortfall</x:v>
      </x:c>
      <x:c r="B16" s="56"/>
      <x:c r="C16" s="56"/>
      <x:c r="D16" s="124" t="str">
        <x:f>INDEX('State Review'!A2:A52,MATCH(MIN('State Review'!G2:G52),'State Review'!G2:G52,0))&amp;" ("&amp;TEXT(MIN('State Review'!G2:G52),"+#,##0;-#,##0;0")&amp;")"</x:f>
        <x:v>CA (-33,282)</x:v>
      </x:c>
      <x:c r="E16" s="124"/>
      <x:c r="F16" s="124"/>
      <x:c r="G16" s="124"/>
      <x:c r="H16" s="125"/>
    </x:row>
    <x:row r="17">
      <x:c r="A17" s="123" t="str">
        <x:v>External benchmark checks passed</x:v>
      </x:c>
      <x:c r="B17" s="56"/>
      <x:c r="C17" s="56"/>
      <x:c r="D17" s="124" t="str">
        <x:f>COUNTIF('QA &amp; Benchmark'!I14:I37,"PASS")&amp;"/"&amp;COUNTA('QA &amp; Benchmark'!I14:I37)</x:f>
        <x:v>24/24</x:v>
      </x:c>
      <x:c r="E17" s="124"/>
      <x:c r="F17" s="124"/>
      <x:c r="G17" s="124"/>
      <x:c r="H17" s="125"/>
    </x:row>
    <x:row r="18">
      <x:c r="A18" s="126" t="str">
        <x:v>Latest-release high-priority QA records</x:v>
      </x:c>
      <x:c r="B18" s="127"/>
      <x:c r="C18" s="127"/>
      <x:c r="D18" s="128" t="n">
        <x:v>27</x:v>
      </x:c>
      <x:c r="E18" s="129"/>
      <x:c r="F18" s="129"/>
      <x:c r="G18" s="129"/>
      <x:c r="H18" s="130"/>
    </x:row>
    <x:row r="21">
      <x:c r="A21" s="65" t="str">
        <x:v>Interpretation boundary: IPEDS “U.S. nonresident” is not a complete measure of immigrant-origin, undocumented, DACA, or foreign-born students. This workbook supports enrollment monitoring and QA; it does not infer immigration status or causality.</x:v>
      </x:c>
      <x:c r="B21" s="65"/>
      <x:c r="C21" s="65"/>
      <x:c r="D21" s="65"/>
      <x:c r="E21" s="65"/>
      <x:c r="F21" s="65"/>
      <x:c r="G21" s="65"/>
      <x:c r="H21" s="65"/>
    </x:row>
    <x:row r="22">
      <x:c r="A22" s="65"/>
      <x:c r="B22" s="65"/>
      <x:c r="C22" s="65"/>
      <x:c r="D22" s="65"/>
      <x:c r="E22" s="65"/>
      <x:c r="F22" s="65"/>
      <x:c r="G22" s="65"/>
      <x:c r="H22" s="65"/>
    </x:row>
    <x:row r="23">
      <x:c r="A23" s="65"/>
      <x:c r="B23" s="65"/>
      <x:c r="C23" s="65"/>
      <x:c r="D23" s="65"/>
      <x:c r="E23" s="65"/>
      <x:c r="F23" s="65"/>
      <x:c r="G23" s="65"/>
      <x:c r="H23" s="65"/>
    </x:row>
    <x:row r="24">
      <x:c r="A24" s="65"/>
      <x:c r="B24" s="65"/>
      <x:c r="C24" s="65"/>
      <x:c r="D24" s="65"/>
      <x:c r="E24" s="65"/>
      <x:c r="F24" s="65"/>
      <x:c r="G24" s="65"/>
      <x:c r="H24" s="65"/>
    </x:row>
    <x:row r="45">
      <x:c r="A45" s="120" t="str">
        <x:v>State lookup (formula-driven)</x:v>
      </x:c>
      <x:c r="B45" s="121"/>
      <x:c r="C45" s="121"/>
      <x:c r="D45" s="121"/>
      <x:c r="E45" s="121"/>
      <x:c r="F45" s="121"/>
      <x:c r="G45" s="121"/>
      <x:c r="H45" s="122"/>
    </x:row>
    <x:row r="46">
      <x:c r="A46" s="141"/>
      <x:c r="B46" s="124"/>
      <x:c r="C46" s="124"/>
      <x:c r="D46" s="124"/>
      <x:c r="E46" s="124"/>
      <x:c r="F46" s="124"/>
      <x:c r="G46" s="124"/>
      <x:c r="H46" s="125"/>
    </x:row>
    <x:row r="47">
      <x:c r="A47" s="142" t="str">
        <x:v>Select state</x:v>
      </x:c>
      <x:c r="B47" s="39"/>
      <x:c r="C47" s="75" t="str">
        <x:v>AZ</x:v>
      </x:c>
      <x:c r="D47" s="75"/>
      <x:c r="E47" s="124"/>
      <x:c r="F47" s="84" t="str">
        <x:v>Use the dropdown to inspect a state. Values are pulled with INDEX/MATCH from the State Review sheet. The underlying State Review table also includes formula-based reconciliation checks for every geography.</x:v>
      </x:c>
      <x:c r="G47" s="84"/>
      <x:c r="H47" s="143"/>
    </x:row>
    <x:row r="48">
      <x:c r="A48" s="141"/>
      <x:c r="B48" s="124"/>
      <x:c r="C48" s="124"/>
      <x:c r="D48" s="124"/>
      <x:c r="E48" s="124"/>
      <x:c r="F48" s="84"/>
      <x:c r="G48" s="84"/>
      <x:c r="H48" s="143"/>
    </x:row>
    <x:row r="49">
      <x:c r="A49" s="123" t="str">
        <x:v>2024 U.S. nonresident</x:v>
      </x:c>
      <x:c r="B49" s="56"/>
      <x:c r="C49" s="20" t="n">
        <x:f>INDEX('State Review'!D2:D52,MATCH(C47,'State Review'!A2:A52,0))</x:f>
        <x:v>21053</x:v>
      </x:c>
      <x:c r="D49" s="20"/>
      <x:c r="E49" s="124"/>
      <x:c r="F49" s="84"/>
      <x:c r="G49" s="84"/>
      <x:c r="H49" s="143"/>
    </x:row>
    <x:row r="50">
      <x:c r="A50" s="123" t="str">
        <x:v>2019→2024 change</x:v>
      </x:c>
      <x:c r="B50" s="56"/>
      <x:c r="C50" s="20" t="n">
        <x:f>INDEX('State Review'!G2:G52,MATCH(C47,'State Review'!A2:A52,0))</x:f>
        <x:v>3601</x:v>
      </x:c>
      <x:c r="D50" s="20"/>
      <x:c r="E50" s="124"/>
      <x:c r="F50" s="84"/>
      <x:c r="G50" s="84"/>
      <x:c r="H50" s="143"/>
    </x:row>
    <x:row r="51">
      <x:c r="A51" s="123" t="str">
        <x:v>2019→2024 % change</x:v>
      </x:c>
      <x:c r="B51" s="56"/>
      <x:c r="C51" s="78" t="n">
        <x:f>INDEX('State Review'!H2:H52,MATCH(C47,'State Review'!A2:A52,0))/100</x:f>
        <x:v>0.20600000000000002</x:v>
      </x:c>
      <x:c r="D51" s="78"/>
      <x:c r="E51" s="124"/>
      <x:c r="F51" s="84"/>
      <x:c r="G51" s="84"/>
      <x:c r="H51" s="143"/>
    </x:row>
    <x:row r="52">
      <x:c r="A52" s="123" t="str">
        <x:v>Recovery status</x:v>
      </x:c>
      <x:c r="B52" s="56"/>
      <x:c r="C52" s="124" t="str">
        <x:f>INDEX('State Review'!I2:I52,MATCH(C47,'State Review'!A2:A52,0))</x:f>
        <x:v>At or above 2019</x:v>
      </x:c>
      <x:c r="D52" s="124"/>
      <x:c r="E52" s="124"/>
      <x:c r="F52" s="84"/>
      <x:c r="G52" s="84"/>
      <x:c r="H52" s="143"/>
    </x:row>
    <x:row r="53">
      <x:c r="A53" s="126" t="str">
        <x:v>2024 share of enrollment</x:v>
      </x:c>
      <x:c r="B53" s="127"/>
      <x:c r="C53" s="144" t="n">
        <x:f>INDEX('State Review'!J2:J52,MATCH(C47,'State Review'!A2:A52,0))/100</x:f>
        <x:v>0.0308</x:v>
      </x:c>
      <x:c r="D53" s="144"/>
      <x:c r="E53" s="129"/>
      <x:c r="F53" s="145"/>
      <x:c r="G53" s="145"/>
      <x:c r="H53" s="146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10:H10"/>
    <x:mergeCell ref="A11:C11"/>
    <x:mergeCell ref="D11:H11"/>
    <x:mergeCell ref="A12:C12"/>
    <x:mergeCell ref="D12:H12"/>
    <x:mergeCell ref="A13:C13"/>
    <x:mergeCell ref="D13:H13"/>
    <x:mergeCell ref="A14:C14"/>
    <x:mergeCell ref="D14:H14"/>
    <x:mergeCell ref="A15:C15"/>
    <x:mergeCell ref="D15:H15"/>
    <x:mergeCell ref="A16:C16"/>
    <x:mergeCell ref="D16:H16"/>
    <x:mergeCell ref="A17:C17"/>
    <x:mergeCell ref="D17:H17"/>
    <x:mergeCell ref="A18:C18"/>
    <x:mergeCell ref="D18:H18"/>
    <x:mergeCell ref="A21:H24"/>
    <x:mergeCell ref="A45:H45"/>
    <x:mergeCell ref="A47:B47"/>
    <x:mergeCell ref="C47:D47"/>
    <x:mergeCell ref="A49:B49"/>
    <x:mergeCell ref="A50:B50"/>
    <x:mergeCell ref="A51:B51"/>
    <x:mergeCell ref="A52:B52"/>
    <x:mergeCell ref="A53:B53"/>
    <x:mergeCell ref="C49:D49"/>
    <x:mergeCell ref="C50:D50"/>
    <x:mergeCell ref="C51:D51"/>
    <x:mergeCell ref="C52:D52"/>
    <x:mergeCell ref="C53:D53"/>
    <x:mergeCell ref="F47:H53"/>
  </x:mergeCells>
  <x:dataValidations count="1">
    <x:dataValidation type="list" sqref="C47:D47">
      <x:formula1>'State Review'!$A$2:$A$52</x:formula1>
    </x:dataValidation>
  </x:dataValidations>
  <x:pageMargins left="0.7" right="0.7" top="0.75" bottom="0.75" header="0.3" footer="0.3"/>
  <x:drawing xmlns:r="http://schemas.openxmlformats.org/officeDocument/2006/relationships" r:id="Rbb02d283af4549e4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2" hidden="0" customWidth="1"/>
    <x:col min="10" max="10" width="22" hidden="0" customWidth="1"/>
    <x:col min="11" max="11" width="18" hidden="0" customWidth="1"/>
    <x:col min="12" max="12" width="18" hidden="0" customWidth="1"/>
    <x:col min="14" max="14" width="44" hidden="0" customWidth="1"/>
  </x:cols>
  <x:sheetData>
    <x:row r="1" ht="30" customHeight="1">
      <x:c r="A1" s="10" t="str">
        <x:v>year</x:v>
      </x:c>
      <x:c r="B1" s="10" t="str">
        <x:v>institution_count</x:v>
      </x:c>
      <x:c r="C1" s="10" t="str">
        <x:v>total_enrollment</x:v>
      </x:c>
      <x:c r="D1" s="10" t="str">
        <x:v>nonresident_enrollment</x:v>
      </x:c>
      <x:c r="E1" s="10" t="str">
        <x:v>nonresident_share_pct</x:v>
      </x:c>
      <x:c r="F1" s="10" t="str">
        <x:v>yoy_nonresident_pct</x:v>
      </x:c>
      <x:c r="G1" s="10" t="str">
        <x:v>undergraduate_total</x:v>
      </x:c>
      <x:c r="H1" s="10" t="str">
        <x:v>undergraduate_nonresident</x:v>
      </x:c>
      <x:c r="I1" s="10" t="str">
        <x:v>graduate_total</x:v>
      </x:c>
      <x:c r="J1" s="10" t="str">
        <x:v>graduate_nonresident</x:v>
      </x:c>
      <x:c r="K1" s="5" t="str">
        <x:v>Recalc level total</x:v>
      </x:c>
      <x:c r="L1" s="5" t="str">
        <x:v>Level reconciliation</x:v>
      </x:c>
      <x:c r="N1" s="26" t="str">
        <x:v>Notes</x:v>
      </x:c>
    </x:row>
    <x:row r="2">
      <x:c r="A2" s="11" t="n">
        <x:v>2015</x:v>
      </x:c>
      <x:c r="B2" s="14" t="n">
        <x:v>4562</x:v>
      </x:c>
      <x:c r="C2" s="14" t="n">
        <x:v>19988204</x:v>
      </x:c>
      <x:c r="D2" s="14" t="n">
        <x:v>980737</x:v>
      </x:c>
      <x:c r="E2" s="16" t="n">
        <x:v>4.9066</x:v>
      </x:c>
      <x:c r="F2" s="16"/>
      <x:c r="G2" s="14" t="n">
        <x:v>17046673</x:v>
      </x:c>
      <x:c r="H2" s="14" t="n">
        <x:v>563601</x:v>
      </x:c>
      <x:c r="I2" s="14" t="n">
        <x:v>2941531</x:v>
      </x:c>
      <x:c r="J2" s="14" t="n">
        <x:v>417136</x:v>
      </x:c>
      <x:c r="K2" s="20" t="n">
        <x:f>H2+J2</x:f>
        <x:v>980737</x:v>
      </x:c>
      <x:c r="L2" t="str">
        <x:f>IF(K2=D2,"PASS","REVIEW")</x:f>
        <x:v>PASS</x:v>
      </x:c>
      <x:c r="N2" s="27" t="str">
        <x:v>Primary source: NCES/IPEDS Fall Enrollment.</x:v>
      </x:c>
    </x:row>
    <x:row r="3">
      <x:c r="A3" s="11" t="n">
        <x:v>2016</x:v>
      </x:c>
      <x:c r="B3" s="14" t="n">
        <x:v>4358</x:v>
      </x:c>
      <x:c r="C3" s="14" t="n">
        <x:v>19846904</x:v>
      </x:c>
      <x:c r="D3" s="14" t="n">
        <x:v>996383</x:v>
      </x:c>
      <x:c r="E3" s="16" t="n">
        <x:v>5.0203</x:v>
      </x:c>
      <x:c r="F3" s="16" t="n">
        <x:v>1.5953</x:v>
      </x:c>
      <x:c r="G3" s="14" t="n">
        <x:v>16874649</x:v>
      </x:c>
      <x:c r="H3" s="14" t="n">
        <x:v>568547</x:v>
      </x:c>
      <x:c r="I3" s="14" t="n">
        <x:v>2972255</x:v>
      </x:c>
      <x:c r="J3" s="14" t="n">
        <x:v>427836</x:v>
      </x:c>
      <x:c r="K3" s="20" t="n">
        <x:f>H3+J3</x:f>
        <x:v>996383</x:v>
      </x:c>
      <x:c r="L3" t="str">
        <x:f>IF(K3=D3,"PASS","REVIEW")</x:f>
        <x:v>PASS</x:v>
      </x:c>
      <x:c r="N3" s="27" t="str">
        <x:v>Latest year: provisional.</x:v>
      </x:c>
    </x:row>
    <x:row r="4">
      <x:c r="A4" s="11" t="n">
        <x:v>2017</x:v>
      </x:c>
      <x:c r="B4" s="14" t="n">
        <x:v>4298</x:v>
      </x:c>
      <x:c r="C4" s="14" t="n">
        <x:v>19778151</x:v>
      </x:c>
      <x:c r="D4" s="14" t="n">
        <x:v>998471</x:v>
      </x:c>
      <x:c r="E4" s="16" t="n">
        <x:v>5.0484</x:v>
      </x:c>
      <x:c r="F4" s="16" t="n">
        <x:v>0.2096</x:v>
      </x:c>
      <x:c r="G4" s="14" t="n">
        <x:v>16773036</x:v>
      </x:c>
      <x:c r="H4" s="14" t="n">
        <x:v>572676</x:v>
      </x:c>
      <x:c r="I4" s="14" t="n">
        <x:v>3005115</x:v>
      </x:c>
      <x:c r="J4" s="14" t="n">
        <x:v>425795</x:v>
      </x:c>
      <x:c r="K4" s="20" t="n">
        <x:f>H4+J4</x:f>
        <x:v>998471</x:v>
      </x:c>
      <x:c r="L4" t="str">
        <x:f>IF(K4=D4,"PASS","REVIEW")</x:f>
        <x:v>PASS</x:v>
      </x:c>
      <x:c r="N4" s="27" t="str">
        <x:v>Level reconciliation verifies undergraduate + graduate = total U.S. nonresident.</x:v>
      </x:c>
    </x:row>
    <x:row r="5">
      <x:c r="A5" s="11" t="n">
        <x:v>2018</x:v>
      </x:c>
      <x:c r="B5" s="14" t="n">
        <x:v>4034</x:v>
      </x:c>
      <x:c r="C5" s="14" t="n">
        <x:v>19651412</x:v>
      </x:c>
      <x:c r="D5" s="14" t="n">
        <x:v>988488</x:v>
      </x:c>
      <x:c r="E5" s="16" t="n">
        <x:v>5.0301</x:v>
      </x:c>
      <x:c r="F5" s="16" t="n">
        <x:v>-0.9998</x:v>
      </x:c>
      <x:c r="G5" s="14" t="n">
        <x:v>16616370</x:v>
      </x:c>
      <x:c r="H5" s="14" t="n">
        <x:v>563926</x:v>
      </x:c>
      <x:c r="I5" s="14" t="n">
        <x:v>3035042</x:v>
      </x:c>
      <x:c r="J5" s="14" t="n">
        <x:v>424562</x:v>
      </x:c>
      <x:c r="K5" s="20" t="n">
        <x:f>H5+J5</x:f>
        <x:v>988488</x:v>
      </x:c>
      <x:c r="L5" t="str">
        <x:f>IF(K5=D5,"PASS","REVIEW")</x:f>
        <x:v>PASS</x:v>
      </x:c>
      <x:c r="N5" s="27" t="str">
        <x:v>Values are students unless otherwise noted.</x:v>
      </x:c>
    </x:row>
    <x:row r="6">
      <x:c r="A6" s="11" t="n">
        <x:v>2019</x:v>
      </x:c>
      <x:c r="B6" s="14" t="n">
        <x:v>3947</x:v>
      </x:c>
      <x:c r="C6" s="14" t="n">
        <x:v>19630178</x:v>
      </x:c>
      <x:c r="D6" s="14" t="n">
        <x:v>973058</x:v>
      </x:c>
      <x:c r="E6" s="16" t="n">
        <x:v>4.9569</x:v>
      </x:c>
      <x:c r="F6" s="16" t="n">
        <x:v>-1.561</x:v>
      </x:c>
      <x:c r="G6" s="14" t="n">
        <x:v>16557539</x:v>
      </x:c>
      <x:c r="H6" s="14" t="n">
        <x:v>547074</x:v>
      </x:c>
      <x:c r="I6" s="14" t="n">
        <x:v>3072639</x:v>
      </x:c>
      <x:c r="J6" s="14" t="n">
        <x:v>425984</x:v>
      </x:c>
      <x:c r="K6" s="20" t="n">
        <x:f>H6+J6</x:f>
        <x:v>973058</x:v>
      </x:c>
      <x:c r="L6" t="str">
        <x:f>IF(K6=D6,"PASS","REVIEW")</x:f>
        <x:v>PASS</x:v>
      </x:c>
    </x:row>
    <x:row r="7">
      <x:c r="A7" s="11" t="n">
        <x:v>2020</x:v>
      </x:c>
      <x:c r="B7" s="14" t="n">
        <x:v>3928</x:v>
      </x:c>
      <x:c r="C7" s="14" t="n">
        <x:v>19027410</x:v>
      </x:c>
      <x:c r="D7" s="14" t="n">
        <x:v>847080</x:v>
      </x:c>
      <x:c r="E7" s="16" t="n">
        <x:v>4.4519</x:v>
      </x:c>
      <x:c r="F7" s="16" t="n">
        <x:v>-12.9466</x:v>
      </x:c>
      <x:c r="G7" s="14" t="n">
        <x:v>15884559</x:v>
      </x:c>
      <x:c r="H7" s="14" t="n">
        <x:v>467400</x:v>
      </x:c>
      <x:c r="I7" s="14" t="n">
        <x:v>3142851</x:v>
      </x:c>
      <x:c r="J7" s="14" t="n">
        <x:v>379680</x:v>
      </x:c>
      <x:c r="K7" s="20" t="n">
        <x:f>H7+J7</x:f>
        <x:v>847080</x:v>
      </x:c>
      <x:c r="L7" t="str">
        <x:f>IF(K7=D7,"PASS","REVIEW")</x:f>
        <x:v>PASS</x:v>
      </x:c>
    </x:row>
    <x:row r="8">
      <x:c r="A8" s="11" t="n">
        <x:v>2021</x:v>
      </x:c>
      <x:c r="B8" s="14" t="n">
        <x:v>3893</x:v>
      </x:c>
      <x:c r="C8" s="14" t="n">
        <x:v>18658756</x:v>
      </x:c>
      <x:c r="D8" s="14" t="n">
        <x:v>881996</x:v>
      </x:c>
      <x:c r="E8" s="16" t="n">
        <x:v>4.727</x:v>
      </x:c>
      <x:c r="F8" s="16" t="n">
        <x:v>4.1219</x:v>
      </x:c>
      <x:c r="G8" s="14" t="n">
        <x:v>15447557</x:v>
      </x:c>
      <x:c r="H8" s="14" t="n">
        <x:v>448809</x:v>
      </x:c>
      <x:c r="I8" s="14" t="n">
        <x:v>3211199</x:v>
      </x:c>
      <x:c r="J8" s="14" t="n">
        <x:v>433187</x:v>
      </x:c>
      <x:c r="K8" s="20" t="n">
        <x:f>H8+J8</x:f>
        <x:v>881996</x:v>
      </x:c>
      <x:c r="L8" t="str">
        <x:f>IF(K8=D8,"PASS","REVIEW")</x:f>
        <x:v>PASS</x:v>
      </x:c>
    </x:row>
    <x:row r="9">
      <x:c r="A9" s="11" t="n">
        <x:v>2022</x:v>
      </x:c>
      <x:c r="B9" s="14" t="n">
        <x:v>3894</x:v>
      </x:c>
      <x:c r="C9" s="14" t="n">
        <x:v>18583497</x:v>
      </x:c>
      <x:c r="D9" s="14" t="n">
        <x:v>963741</x:v>
      </x:c>
      <x:c r="E9" s="16" t="n">
        <x:v>5.186</x:v>
      </x:c>
      <x:c r="F9" s="16" t="n">
        <x:v>9.2682</x:v>
      </x:c>
      <x:c r="G9" s="14" t="n">
        <x:v>15399866</x:v>
      </x:c>
      <x:c r="H9" s="14" t="n">
        <x:v>449891</x:v>
      </x:c>
      <x:c r="I9" s="14" t="n">
        <x:v>3183631</x:v>
      </x:c>
      <x:c r="J9" s="14" t="n">
        <x:v>513850</x:v>
      </x:c>
      <x:c r="K9" s="20" t="n">
        <x:f>H9+J9</x:f>
        <x:v>963741</x:v>
      </x:c>
      <x:c r="L9" t="str">
        <x:f>IF(K9=D9,"PASS","REVIEW")</x:f>
        <x:v>PASS</x:v>
      </x:c>
    </x:row>
    <x:row r="10">
      <x:c r="A10" s="11" t="n">
        <x:v>2023</x:v>
      </x:c>
      <x:c r="B10" s="14" t="n">
        <x:v>3838</x:v>
      </x:c>
      <x:c r="C10" s="14" t="n">
        <x:v>19039584</x:v>
      </x:c>
      <x:c r="D10" s="14" t="n">
        <x:v>1014598</x:v>
      </x:c>
      <x:c r="E10" s="16" t="n">
        <x:v>5.3289</x:v>
      </x:c>
      <x:c r="F10" s="16" t="n">
        <x:v>5.277</x:v>
      </x:c>
      <x:c r="G10" s="14" t="n">
        <x:v>15825762</x:v>
      </x:c>
      <x:c r="H10" s="14" t="n">
        <x:v>456644</x:v>
      </x:c>
      <x:c r="I10" s="14" t="n">
        <x:v>3213822</x:v>
      </x:c>
      <x:c r="J10" s="14" t="n">
        <x:v>557954</x:v>
      </x:c>
      <x:c r="K10" s="20" t="n">
        <x:f>H10+J10</x:f>
        <x:v>1014598</x:v>
      </x:c>
      <x:c r="L10" t="str">
        <x:f>IF(K10=D10,"PASS","REVIEW")</x:f>
        <x:v>PASS</x:v>
      </x:c>
    </x:row>
    <x:row r="11">
      <x:c r="A11" s="11" t="n">
        <x:v>2024</x:v>
      </x:c>
      <x:c r="B11" s="14" t="n">
        <x:v>3797</x:v>
      </x:c>
      <x:c r="C11" s="14" t="n">
        <x:v>19659633</x:v>
      </x:c>
      <x:c r="D11" s="14" t="n">
        <x:v>1044137</x:v>
      </x:c>
      <x:c r="E11" s="16" t="n">
        <x:v>5.3111</x:v>
      </x:c>
      <x:c r="F11" s="16" t="n">
        <x:v>2.9114</x:v>
      </x:c>
      <x:c r="G11" s="14" t="n">
        <x:v>16385717</x:v>
      </x:c>
      <x:c r="H11" s="14" t="n">
        <x:v>488236</x:v>
      </x:c>
      <x:c r="I11" s="14" t="n">
        <x:v>3273916</x:v>
      </x:c>
      <x:c r="J11" s="14" t="n">
        <x:v>555901</x:v>
      </x:c>
      <x:c r="K11" s="20" t="n">
        <x:f>H11+J11</x:f>
        <x:v>1044137</x:v>
      </x:c>
      <x:c r="L11" t="str">
        <x:f>IF(K11=D11,"PASS","REVIEW")</x:f>
        <x:v>PASS</x:v>
      </x:c>
    </x:row>
  </x:sheetData>
  <x:conditionalFormatting sqref="L2:L11">
    <x:cfRule type="expression" dxfId="5" priority="1">
      <x:formula>L2="PASS"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3c20038f394b3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9" hidden="0" customWidth="1"/>
    <x:col min="12" max="12" width="20" hidden="0" customWidth="1"/>
    <x:col min="14" max="14" width="42" hidden="0" customWidth="1"/>
  </x:cols>
  <x:sheetData>
    <x:row r="1" ht="30" customHeight="1">
      <x:c r="A1" s="10" t="str">
        <x:v>state</x:v>
      </x:c>
      <x:c r="B1" s="10" t="str">
        <x:v>nonresident_2015</x:v>
      </x:c>
      <x:c r="C1" s="10" t="str">
        <x:v>nonresident_2019</x:v>
      </x:c>
      <x:c r="D1" s="10" t="str">
        <x:v>nonresident_2024</x:v>
      </x:c>
      <x:c r="E1" s="10" t="str">
        <x:v>change_2015_2024</x:v>
      </x:c>
      <x:c r="F1" s="10" t="str">
        <x:v>change_pct_2015_2024</x:v>
      </x:c>
      <x:c r="G1" s="10" t="str">
        <x:v>change_2019_2024</x:v>
      </x:c>
      <x:c r="H1" s="10" t="str">
        <x:v>change_pct_2019_2024</x:v>
      </x:c>
      <x:c r="I1" s="10" t="str">
        <x:v>recovery_status</x:v>
      </x:c>
      <x:c r="J1" s="10" t="str">
        <x:v>nonresident_share_pct_2024</x:v>
      </x:c>
      <x:c r="K1" s="5" t="str">
        <x:v>Recalc 2019→2024</x:v>
      </x:c>
      <x:c r="L1" s="5" t="str">
        <x:v>Change reconciliation</x:v>
      </x:c>
      <x:c r="N1" s="26" t="str">
        <x:v>Notes</x:v>
      </x:c>
    </x:row>
    <x:row r="2">
      <x:c r="A2" s="11" t="str">
        <x:v>AK</x:v>
      </x:c>
      <x:c r="B2" s="14" t="n">
        <x:v>589</x:v>
      </x:c>
      <x:c r="C2" s="14" t="n">
        <x:v>459</x:v>
      </x:c>
      <x:c r="D2" s="14" t="n">
        <x:v>374</x:v>
      </x:c>
      <x:c r="E2" s="14" t="n">
        <x:v>-215</x:v>
      </x:c>
      <x:c r="F2" s="18" t="n">
        <x:v>-36.5</x:v>
      </x:c>
      <x:c r="G2" s="14" t="n">
        <x:v>-85</x:v>
      </x:c>
      <x:c r="H2" s="18" t="n">
        <x:v>-18.5</x:v>
      </x:c>
      <x:c r="I2" s="11" t="str">
        <x:v>Below 2019</x:v>
      </x:c>
      <x:c r="J2" s="16" t="n">
        <x:v>1.65</x:v>
      </x:c>
      <x:c r="K2" s="58" t="n">
        <x:f>D2-C2</x:f>
        <x:v>-85</x:v>
      </x:c>
      <x:c r="L2" t="str">
        <x:f>IF(K2=G2,"PASS","REVIEW")</x:f>
        <x:v>PASS</x:v>
      </x:c>
      <x:c r="N2" s="27" t="str">
        <x:v>Geography is institution location.</x:v>
      </x:c>
    </x:row>
    <x:row r="3">
      <x:c r="A3" s="11" t="str">
        <x:v>AL</x:v>
      </x:c>
      <x:c r="B3" s="14" t="n">
        <x:v>8199</x:v>
      </x:c>
      <x:c r="C3" s="14" t="n">
        <x:v>9102</x:v>
      </x:c>
      <x:c r="D3" s="14" t="n">
        <x:v>9490</x:v>
      </x:c>
      <x:c r="E3" s="14" t="n">
        <x:v>1291</x:v>
      </x:c>
      <x:c r="F3" s="18" t="n">
        <x:v>15.7</x:v>
      </x:c>
      <x:c r="G3" s="14" t="n">
        <x:v>388</x:v>
      </x:c>
      <x:c r="H3" s="18" t="n">
        <x:v>4.3</x:v>
      </x:c>
      <x:c r="I3" s="11" t="str">
        <x:v>At or above 2019</x:v>
      </x:c>
      <x:c r="J3" s="16" t="n">
        <x:v>3.05</x:v>
      </x:c>
      <x:c r="K3" s="58" t="n">
        <x:f>D3-C3</x:f>
        <x:v>388</x:v>
      </x:c>
      <x:c r="L3" t="str">
        <x:f>IF(K3=G3,"PASS","REVIEW")</x:f>
        <x:v>PASS</x:v>
      </x:c>
      <x:c r="N3" s="27" t="str">
        <x:v>Recovery compares 2024 with 2019.</x:v>
      </x:c>
    </x:row>
    <x:row r="4">
      <x:c r="A4" s="11" t="str">
        <x:v>AR</x:v>
      </x:c>
      <x:c r="B4" s="14" t="n">
        <x:v>5804</x:v>
      </x:c>
      <x:c r="C4" s="14" t="n">
        <x:v>4788</x:v>
      </x:c>
      <x:c r="D4" s="14" t="n">
        <x:v>5771</x:v>
      </x:c>
      <x:c r="E4" s="14" t="n">
        <x:v>-33</x:v>
      </x:c>
      <x:c r="F4" s="18" t="n">
        <x:v>-0.6</x:v>
      </x:c>
      <x:c r="G4" s="14" t="n">
        <x:v>983</x:v>
      </x:c>
      <x:c r="H4" s="18" t="n">
        <x:v>20.5</x:v>
      </x:c>
      <x:c r="I4" s="11" t="str">
        <x:v>At or above 2019</x:v>
      </x:c>
      <x:c r="J4" s="16" t="n">
        <x:v>3.57</x:v>
      </x:c>
      <x:c r="K4" s="58" t="n">
        <x:f>D4-C4</x:f>
        <x:v>983</x:v>
      </x:c>
      <x:c r="L4" t="str">
        <x:f>IF(K4=G4,"PASS","REVIEW")</x:f>
        <x:v>PASS</x:v>
      </x:c>
      <x:c r="N4" s="27" t="str">
        <x:v>Change reconciliation verifies 2024 − 2019.</x:v>
      </x:c>
    </x:row>
    <x:row r="5">
      <x:c r="A5" s="11" t="str">
        <x:v>AZ</x:v>
      </x:c>
      <x:c r="B5" s="14" t="n">
        <x:v>20266</x:v>
      </x:c>
      <x:c r="C5" s="14" t="n">
        <x:v>17452</x:v>
      </x:c>
      <x:c r="D5" s="14" t="n">
        <x:v>21053</x:v>
      </x:c>
      <x:c r="E5" s="14" t="n">
        <x:v>787</x:v>
      </x:c>
      <x:c r="F5" s="18" t="n">
        <x:v>3.9</x:v>
      </x:c>
      <x:c r="G5" s="14" t="n">
        <x:v>3601</x:v>
      </x:c>
      <x:c r="H5" s="18" t="n">
        <x:v>20.6</x:v>
      </x:c>
      <x:c r="I5" s="11" t="str">
        <x:v>At or above 2019</x:v>
      </x:c>
      <x:c r="J5" s="16" t="n">
        <x:v>3.08</x:v>
      </x:c>
      <x:c r="K5" s="58" t="n">
        <x:f>D5-C5</x:f>
        <x:v>3601</x:v>
      </x:c>
      <x:c r="L5" t="str">
        <x:f>IF(K5=G5,"PASS","REVIEW")</x:f>
        <x:v>PASS</x:v>
      </x:c>
      <x:c r="N5" s="27" t="str">
        <x:v>Conditional formatting highlights direction and recovery status.</x:v>
      </x:c>
    </x:row>
    <x:row r="6">
      <x:c r="A6" s="11" t="str">
        <x:v>CA</x:v>
      </x:c>
      <x:c r="B6" s="14" t="n">
        <x:v>137633</x:v>
      </x:c>
      <x:c r="C6" s="14" t="n">
        <x:v>146871</x:v>
      </x:c>
      <x:c r="D6" s="14" t="n">
        <x:v>113589</x:v>
      </x:c>
      <x:c r="E6" s="14" t="n">
        <x:v>-24044</x:v>
      </x:c>
      <x:c r="F6" s="18" t="n">
        <x:v>-17.5</x:v>
      </x:c>
      <x:c r="G6" s="14" t="n">
        <x:v>-33282</x:v>
      </x:c>
      <x:c r="H6" s="18" t="n">
        <x:v>-22.7</x:v>
      </x:c>
      <x:c r="I6" s="11" t="str">
        <x:v>Below 2019</x:v>
      </x:c>
      <x:c r="J6" s="16" t="n">
        <x:v>4.25</x:v>
      </x:c>
      <x:c r="K6" s="58" t="n">
        <x:f>D6-C6</x:f>
        <x:v>-33282</x:v>
      </x:c>
      <x:c r="L6" t="str">
        <x:f>IF(K6=G6,"PASS","REVIEW")</x:f>
        <x:v>PASS</x:v>
      </x:c>
    </x:row>
    <x:row r="7">
      <x:c r="A7" s="11" t="str">
        <x:v>CO</x:v>
      </x:c>
      <x:c r="B7" s="14" t="n">
        <x:v>11420</x:v>
      </x:c>
      <x:c r="C7" s="14" t="n">
        <x:v>11698</x:v>
      </x:c>
      <x:c r="D7" s="14" t="n">
        <x:v>11372</x:v>
      </x:c>
      <x:c r="E7" s="14" t="n">
        <x:v>-48</x:v>
      </x:c>
      <x:c r="F7" s="18" t="n">
        <x:v>-0.4</x:v>
      </x:c>
      <x:c r="G7" s="14" t="n">
        <x:v>-326</x:v>
      </x:c>
      <x:c r="H7" s="18" t="n">
        <x:v>-2.8</x:v>
      </x:c>
      <x:c r="I7" s="11" t="str">
        <x:v>Below 2019</x:v>
      </x:c>
      <x:c r="J7" s="16" t="n">
        <x:v>3.06</x:v>
      </x:c>
      <x:c r="K7" s="58" t="n">
        <x:f>D7-C7</x:f>
        <x:v>-326</x:v>
      </x:c>
      <x:c r="L7" t="str">
        <x:f>IF(K7=G7,"PASS","REVIEW")</x:f>
        <x:v>PASS</x:v>
      </x:c>
    </x:row>
    <x:row r="8">
      <x:c r="A8" s="11" t="str">
        <x:v>CT</x:v>
      </x:c>
      <x:c r="B8" s="14" t="n">
        <x:v>11473</x:v>
      </x:c>
      <x:c r="C8" s="14" t="n">
        <x:v>11318</x:v>
      </x:c>
      <x:c r="D8" s="14" t="n">
        <x:v>15407</x:v>
      </x:c>
      <x:c r="E8" s="14" t="n">
        <x:v>3934</x:v>
      </x:c>
      <x:c r="F8" s="18" t="n">
        <x:v>34.3</x:v>
      </x:c>
      <x:c r="G8" s="14" t="n">
        <x:v>4089</x:v>
      </x:c>
      <x:c r="H8" s="18" t="n">
        <x:v>36.1</x:v>
      </x:c>
      <x:c r="I8" s="11" t="str">
        <x:v>At or above 2019</x:v>
      </x:c>
      <x:c r="J8" s="16" t="n">
        <x:v>7.9</x:v>
      </x:c>
      <x:c r="K8" s="58" t="n">
        <x:f>D8-C8</x:f>
        <x:v>4089</x:v>
      </x:c>
      <x:c r="L8" t="str">
        <x:f>IF(K8=G8,"PASS","REVIEW")</x:f>
        <x:v>PASS</x:v>
      </x:c>
    </x:row>
    <x:row r="9">
      <x:c r="A9" s="11" t="str">
        <x:v>DC</x:v>
      </x:c>
      <x:c r="B9" s="14" t="n">
        <x:v>10205</x:v>
      </x:c>
      <x:c r="C9" s="14" t="n">
        <x:v>11537</x:v>
      </x:c>
      <x:c r="D9" s="14" t="n">
        <x:v>9743</x:v>
      </x:c>
      <x:c r="E9" s="14" t="n">
        <x:v>-462</x:v>
      </x:c>
      <x:c r="F9" s="18" t="n">
        <x:v>-4.5</x:v>
      </x:c>
      <x:c r="G9" s="14" t="n">
        <x:v>-1794</x:v>
      </x:c>
      <x:c r="H9" s="18" t="n">
        <x:v>-15.5</x:v>
      </x:c>
      <x:c r="I9" s="11" t="str">
        <x:v>Below 2019</x:v>
      </x:c>
      <x:c r="J9" s="16" t="n">
        <x:v>9.7</x:v>
      </x:c>
      <x:c r="K9" s="58" t="n">
        <x:f>D9-C9</x:f>
        <x:v>-1794</x:v>
      </x:c>
      <x:c r="L9" t="str">
        <x:f>IF(K9=G9,"PASS","REVIEW")</x:f>
        <x:v>PASS</x:v>
      </x:c>
    </x:row>
    <x:row r="10">
      <x:c r="A10" s="11" t="str">
        <x:v>DE</x:v>
      </x:c>
      <x:c r="B10" s="14" t="n">
        <x:v>5449</x:v>
      </x:c>
      <x:c r="C10" s="14" t="n">
        <x:v>4179</x:v>
      </x:c>
      <x:c r="D10" s="14" t="n">
        <x:v>4767</x:v>
      </x:c>
      <x:c r="E10" s="14" t="n">
        <x:v>-682</x:v>
      </x:c>
      <x:c r="F10" s="18" t="n">
        <x:v>-12.5</x:v>
      </x:c>
      <x:c r="G10" s="14" t="n">
        <x:v>588</x:v>
      </x:c>
      <x:c r="H10" s="18" t="n">
        <x:v>14.1</x:v>
      </x:c>
      <x:c r="I10" s="11" t="str">
        <x:v>At or above 2019</x:v>
      </x:c>
      <x:c r="J10" s="16" t="n">
        <x:v>8.24</x:v>
      </x:c>
      <x:c r="K10" s="58" t="n">
        <x:f>D10-C10</x:f>
        <x:v>588</x:v>
      </x:c>
      <x:c r="L10" t="str">
        <x:f>IF(K10=G10,"PASS","REVIEW")</x:f>
        <x:v>PASS</x:v>
      </x:c>
    </x:row>
    <x:row r="11">
      <x:c r="A11" s="11" t="str">
        <x:v>FL</x:v>
      </x:c>
      <x:c r="B11" s="14" t="n">
        <x:v>43850</x:v>
      </x:c>
      <x:c r="C11" s="14" t="n">
        <x:v>46411</x:v>
      </x:c>
      <x:c r="D11" s="14" t="n">
        <x:v>58391</x:v>
      </x:c>
      <x:c r="E11" s="14" t="n">
        <x:v>14541</x:v>
      </x:c>
      <x:c r="F11" s="18" t="n">
        <x:v>33.2</x:v>
      </x:c>
      <x:c r="G11" s="14" t="n">
        <x:v>11980</x:v>
      </x:c>
      <x:c r="H11" s="18" t="n">
        <x:v>25.8</x:v>
      </x:c>
      <x:c r="I11" s="11" t="str">
        <x:v>At or above 2019</x:v>
      </x:c>
      <x:c r="J11" s="16" t="n">
        <x:v>5.58</x:v>
      </x:c>
      <x:c r="K11" s="58" t="n">
        <x:f>D11-C11</x:f>
        <x:v>11980</x:v>
      </x:c>
      <x:c r="L11" t="str">
        <x:f>IF(K11=G11,"PASS","REVIEW")</x:f>
        <x:v>PASS</x:v>
      </x:c>
    </x:row>
    <x:row r="12">
      <x:c r="A12" s="11" t="str">
        <x:v>GA</x:v>
      </x:c>
      <x:c r="B12" s="14" t="n">
        <x:v>20895</x:v>
      </x:c>
      <x:c r="C12" s="14" t="n">
        <x:v>25718</x:v>
      </x:c>
      <x:c r="D12" s="14" t="n">
        <x:v>33443</x:v>
      </x:c>
      <x:c r="E12" s="14" t="n">
        <x:v>12548</x:v>
      </x:c>
      <x:c r="F12" s="18" t="n">
        <x:v>60.1</x:v>
      </x:c>
      <x:c r="G12" s="14" t="n">
        <x:v>7725</x:v>
      </x:c>
      <x:c r="H12" s="18" t="n">
        <x:v>30</x:v>
      </x:c>
      <x:c r="I12" s="11" t="str">
        <x:v>At or above 2019</x:v>
      </x:c>
      <x:c r="J12" s="16" t="n">
        <x:v>5.63</x:v>
      </x:c>
      <x:c r="K12" s="58" t="n">
        <x:f>D12-C12</x:f>
        <x:v>7725</x:v>
      </x:c>
      <x:c r="L12" t="str">
        <x:f>IF(K12=G12,"PASS","REVIEW")</x:f>
        <x:v>PASS</x:v>
      </x:c>
    </x:row>
    <x:row r="13">
      <x:c r="A13" s="11" t="str">
        <x:v>HI</x:v>
      </x:c>
      <x:c r="B13" s="14" t="n">
        <x:v>4071</x:v>
      </x:c>
      <x:c r="C13" s="14" t="n">
        <x:v>3797</x:v>
      </x:c>
      <x:c r="D13" s="14" t="n">
        <x:v>4087</x:v>
      </x:c>
      <x:c r="E13" s="14" t="n">
        <x:v>16</x:v>
      </x:c>
      <x:c r="F13" s="18" t="n">
        <x:v>0.4</x:v>
      </x:c>
      <x:c r="G13" s="14" t="n">
        <x:v>290</x:v>
      </x:c>
      <x:c r="H13" s="18" t="n">
        <x:v>7.6</x:v>
      </x:c>
      <x:c r="I13" s="11" t="str">
        <x:v>At or above 2019</x:v>
      </x:c>
      <x:c r="J13" s="16" t="n">
        <x:v>6.66</x:v>
      </x:c>
      <x:c r="K13" s="58" t="n">
        <x:f>D13-C13</x:f>
        <x:v>290</x:v>
      </x:c>
      <x:c r="L13" t="str">
        <x:f>IF(K13=G13,"PASS","REVIEW")</x:f>
        <x:v>PASS</x:v>
      </x:c>
    </x:row>
    <x:row r="14">
      <x:c r="A14" s="11" t="str">
        <x:v>IA</x:v>
      </x:c>
      <x:c r="B14" s="14" t="n">
        <x:v>13094</x:v>
      </x:c>
      <x:c r="C14" s="14" t="n">
        <x:v>10414</x:v>
      </x:c>
      <x:c r="D14" s="14" t="n">
        <x:v>8993</x:v>
      </x:c>
      <x:c r="E14" s="14" t="n">
        <x:v>-4101</x:v>
      </x:c>
      <x:c r="F14" s="18" t="n">
        <x:v>-31.3</x:v>
      </x:c>
      <x:c r="G14" s="14" t="n">
        <x:v>-1421</x:v>
      </x:c>
      <x:c r="H14" s="18" t="n">
        <x:v>-13.6</x:v>
      </x:c>
      <x:c r="I14" s="11" t="str">
        <x:v>Below 2019</x:v>
      </x:c>
      <x:c r="J14" s="16" t="n">
        <x:v>4.35</x:v>
      </x:c>
      <x:c r="K14" s="58" t="n">
        <x:f>D14-C14</x:f>
        <x:v>-1421</x:v>
      </x:c>
      <x:c r="L14" t="str">
        <x:f>IF(K14=G14,"PASS","REVIEW")</x:f>
        <x:v>PASS</x:v>
      </x:c>
    </x:row>
    <x:row r="15">
      <x:c r="A15" s="11" t="str">
        <x:v>ID</x:v>
      </x:c>
      <x:c r="B15" s="14" t="n">
        <x:v>9509</x:v>
      </x:c>
      <x:c r="C15" s="14" t="n">
        <x:v>6925</x:v>
      </x:c>
      <x:c r="D15" s="14" t="n">
        <x:v>3277</x:v>
      </x:c>
      <x:c r="E15" s="14" t="n">
        <x:v>-6232</x:v>
      </x:c>
      <x:c r="F15" s="18" t="n">
        <x:v>-65.5</x:v>
      </x:c>
      <x:c r="G15" s="14" t="n">
        <x:v>-3648</x:v>
      </x:c>
      <x:c r="H15" s="18" t="n">
        <x:v>-52.7</x:v>
      </x:c>
      <x:c r="I15" s="11" t="str">
        <x:v>Below 2019</x:v>
      </x:c>
      <x:c r="J15" s="16" t="n">
        <x:v>2.42</x:v>
      </x:c>
      <x:c r="K15" s="58" t="n">
        <x:f>D15-C15</x:f>
        <x:v>-3648</x:v>
      </x:c>
      <x:c r="L15" t="str">
        <x:f>IF(K15=G15,"PASS","REVIEW")</x:f>
        <x:v>PASS</x:v>
      </x:c>
    </x:row>
    <x:row r="16">
      <x:c r="A16" s="11" t="str">
        <x:v>IL</x:v>
      </x:c>
      <x:c r="B16" s="14" t="n">
        <x:v>42101</x:v>
      </x:c>
      <x:c r="C16" s="14" t="n">
        <x:v>41291</x:v>
      </x:c>
      <x:c r="D16" s="14" t="n">
        <x:v>55755</x:v>
      </x:c>
      <x:c r="E16" s="14" t="n">
        <x:v>13654</x:v>
      </x:c>
      <x:c r="F16" s="18" t="n">
        <x:v>32.4</x:v>
      </x:c>
      <x:c r="G16" s="14" t="n">
        <x:v>14464</x:v>
      </x:c>
      <x:c r="H16" s="18" t="n">
        <x:v>35</x:v>
      </x:c>
      <x:c r="I16" s="11" t="str">
        <x:v>At or above 2019</x:v>
      </x:c>
      <x:c r="J16" s="16" t="n">
        <x:v>7.71</x:v>
      </x:c>
      <x:c r="K16" s="58" t="n">
        <x:f>D16-C16</x:f>
        <x:v>14464</x:v>
      </x:c>
      <x:c r="L16" t="str">
        <x:f>IF(K16=G16,"PASS","REVIEW")</x:f>
        <x:v>PASS</x:v>
      </x:c>
    </x:row>
    <x:row r="17">
      <x:c r="A17" s="11" t="str">
        <x:v>IN</x:v>
      </x:c>
      <x:c r="B17" s="14" t="n">
        <x:v>27104</x:v>
      </x:c>
      <x:c r="C17" s="14" t="n">
        <x:v>24229</x:v>
      </x:c>
      <x:c r="D17" s="14" t="n">
        <x:v>37082</x:v>
      </x:c>
      <x:c r="E17" s="14" t="n">
        <x:v>9978</x:v>
      </x:c>
      <x:c r="F17" s="18" t="n">
        <x:v>36.8</x:v>
      </x:c>
      <x:c r="G17" s="14" t="n">
        <x:v>12853</x:v>
      </x:c>
      <x:c r="H17" s="18" t="n">
        <x:v>53</x:v>
      </x:c>
      <x:c r="I17" s="11" t="str">
        <x:v>At or above 2019</x:v>
      </x:c>
      <x:c r="J17" s="16" t="n">
        <x:v>7.75</x:v>
      </x:c>
      <x:c r="K17" s="58" t="n">
        <x:f>D17-C17</x:f>
        <x:v>12853</x:v>
      </x:c>
      <x:c r="L17" t="str">
        <x:f>IF(K17=G17,"PASS","REVIEW")</x:f>
        <x:v>PASS</x:v>
      </x:c>
    </x:row>
    <x:row r="18">
      <x:c r="A18" s="11" t="str">
        <x:v>KS</x:v>
      </x:c>
      <x:c r="B18" s="14" t="n">
        <x:v>13259</x:v>
      </x:c>
      <x:c r="C18" s="14" t="n">
        <x:v>13065</x:v>
      </x:c>
      <x:c r="D18" s="14" t="n">
        <x:v>9223</x:v>
      </x:c>
      <x:c r="E18" s="14" t="n">
        <x:v>-4036</x:v>
      </x:c>
      <x:c r="F18" s="18" t="n">
        <x:v>-30.4</x:v>
      </x:c>
      <x:c r="G18" s="14" t="n">
        <x:v>-3842</x:v>
      </x:c>
      <x:c r="H18" s="18" t="n">
        <x:v>-29.4</x:v>
      </x:c>
      <x:c r="I18" s="11" t="str">
        <x:v>Below 2019</x:v>
      </x:c>
      <x:c r="J18" s="16" t="n">
        <x:v>4.7</x:v>
      </x:c>
      <x:c r="K18" s="58" t="n">
        <x:f>D18-C18</x:f>
        <x:v>-3842</x:v>
      </x:c>
      <x:c r="L18" t="str">
        <x:f>IF(K18=G18,"PASS","REVIEW")</x:f>
        <x:v>PASS</x:v>
      </x:c>
    </x:row>
    <x:row r="19">
      <x:c r="A19" s="11" t="str">
        <x:v>KY</x:v>
      </x:c>
      <x:c r="B19" s="14" t="n">
        <x:v>7114</x:v>
      </x:c>
      <x:c r="C19" s="14" t="n">
        <x:v>15650</x:v>
      </x:c>
      <x:c r="D19" s="14" t="n">
        <x:v>15365</x:v>
      </x:c>
      <x:c r="E19" s="14" t="n">
        <x:v>8251</x:v>
      </x:c>
      <x:c r="F19" s="18" t="n">
        <x:v>116</x:v>
      </x:c>
      <x:c r="G19" s="14" t="n">
        <x:v>-285</x:v>
      </x:c>
      <x:c r="H19" s="18" t="n">
        <x:v>-1.8</x:v>
      </x:c>
      <x:c r="I19" s="11" t="str">
        <x:v>Below 2019</x:v>
      </x:c>
      <x:c r="J19" s="16" t="n">
        <x:v>5.37</x:v>
      </x:c>
      <x:c r="K19" s="58" t="n">
        <x:f>D19-C19</x:f>
        <x:v>-285</x:v>
      </x:c>
      <x:c r="L19" t="str">
        <x:f>IF(K19=G19,"PASS","REVIEW")</x:f>
        <x:v>PASS</x:v>
      </x:c>
    </x:row>
    <x:row r="20">
      <x:c r="A20" s="11" t="str">
        <x:v>LA</x:v>
      </x:c>
      <x:c r="B20" s="14" t="n">
        <x:v>7511</x:v>
      </x:c>
      <x:c r="C20" s="14" t="n">
        <x:v>7252</x:v>
      </x:c>
      <x:c r="D20" s="14" t="n">
        <x:v>7934</x:v>
      </x:c>
      <x:c r="E20" s="14" t="n">
        <x:v>423</x:v>
      </x:c>
      <x:c r="F20" s="18" t="n">
        <x:v>5.6</x:v>
      </x:c>
      <x:c r="G20" s="14" t="n">
        <x:v>682</x:v>
      </x:c>
      <x:c r="H20" s="18" t="n">
        <x:v>9.4</x:v>
      </x:c>
      <x:c r="I20" s="11" t="str">
        <x:v>At or above 2019</x:v>
      </x:c>
      <x:c r="J20" s="16" t="n">
        <x:v>3.12</x:v>
      </x:c>
      <x:c r="K20" s="58" t="n">
        <x:f>D20-C20</x:f>
        <x:v>682</x:v>
      </x:c>
      <x:c r="L20" t="str">
        <x:f>IF(K20=G20,"PASS","REVIEW")</x:f>
        <x:v>PASS</x:v>
      </x:c>
    </x:row>
    <x:row r="21">
      <x:c r="A21" s="11" t="str">
        <x:v>MA</x:v>
      </x:c>
      <x:c r="B21" s="14" t="n">
        <x:v>55155</x:v>
      </x:c>
      <x:c r="C21" s="14" t="n">
        <x:v>61761</x:v>
      </x:c>
      <x:c r="D21" s="14" t="n">
        <x:v>68570</x:v>
      </x:c>
      <x:c r="E21" s="14" t="n">
        <x:v>13415</x:v>
      </x:c>
      <x:c r="F21" s="18" t="n">
        <x:v>24.3</x:v>
      </x:c>
      <x:c r="G21" s="14" t="n">
        <x:v>6809</x:v>
      </x:c>
      <x:c r="H21" s="18" t="n">
        <x:v>11</x:v>
      </x:c>
      <x:c r="I21" s="11" t="str">
        <x:v>At or above 2019</x:v>
      </x:c>
      <x:c r="J21" s="16" t="n">
        <x:v>14.23</x:v>
      </x:c>
      <x:c r="K21" s="58" t="n">
        <x:f>D21-C21</x:f>
        <x:v>6809</x:v>
      </x:c>
      <x:c r="L21" t="str">
        <x:f>IF(K21=G21,"PASS","REVIEW")</x:f>
        <x:v>PASS</x:v>
      </x:c>
    </x:row>
    <x:row r="22">
      <x:c r="A22" s="11" t="str">
        <x:v>MD</x:v>
      </x:c>
      <x:c r="B22" s="14" t="n">
        <x:v>19412</x:v>
      </x:c>
      <x:c r="C22" s="14" t="n">
        <x:v>21988</x:v>
      </x:c>
      <x:c r="D22" s="14" t="n">
        <x:v>26147</x:v>
      </x:c>
      <x:c r="E22" s="14" t="n">
        <x:v>6735</x:v>
      </x:c>
      <x:c r="F22" s="18" t="n">
        <x:v>34.7</x:v>
      </x:c>
      <x:c r="G22" s="14" t="n">
        <x:v>4159</x:v>
      </x:c>
      <x:c r="H22" s="18" t="n">
        <x:v>18.9</x:v>
      </x:c>
      <x:c r="I22" s="11" t="str">
        <x:v>At or above 2019</x:v>
      </x:c>
      <x:c r="J22" s="16" t="n">
        <x:v>7.39</x:v>
      </x:c>
      <x:c r="K22" s="58" t="n">
        <x:f>D22-C22</x:f>
        <x:v>4159</x:v>
      </x:c>
      <x:c r="L22" t="str">
        <x:f>IF(K22=G22,"PASS","REVIEW")</x:f>
        <x:v>PASS</x:v>
      </x:c>
    </x:row>
    <x:row r="23">
      <x:c r="A23" s="11" t="str">
        <x:v>ME</x:v>
      </x:c>
      <x:c r="B23" s="14" t="n">
        <x:v>1601</x:v>
      </x:c>
      <x:c r="C23" s="14" t="n">
        <x:v>1507</x:v>
      </x:c>
      <x:c r="D23" s="14" t="n">
        <x:v>2121</x:v>
      </x:c>
      <x:c r="E23" s="14" t="n">
        <x:v>520</x:v>
      </x:c>
      <x:c r="F23" s="18" t="n">
        <x:v>32.5</x:v>
      </x:c>
      <x:c r="G23" s="14" t="n">
        <x:v>614</x:v>
      </x:c>
      <x:c r="H23" s="18" t="n">
        <x:v>40.7</x:v>
      </x:c>
      <x:c r="I23" s="11" t="str">
        <x:v>At or above 2019</x:v>
      </x:c>
      <x:c r="J23" s="16" t="n">
        <x:v>2.62</x:v>
      </x:c>
      <x:c r="K23" s="58" t="n">
        <x:f>D23-C23</x:f>
        <x:v>614</x:v>
      </x:c>
      <x:c r="L23" t="str">
        <x:f>IF(K23=G23,"PASS","REVIEW")</x:f>
        <x:v>PASS</x:v>
      </x:c>
    </x:row>
    <x:row r="24">
      <x:c r="A24" s="11" t="str">
        <x:v>MI</x:v>
      </x:c>
      <x:c r="B24" s="14" t="n">
        <x:v>33394</x:v>
      </x:c>
      <x:c r="C24" s="14" t="n">
        <x:v>27778</x:v>
      </x:c>
      <x:c r="D24" s="14" t="n">
        <x:v>29161</x:v>
      </x:c>
      <x:c r="E24" s="14" t="n">
        <x:v>-4233</x:v>
      </x:c>
      <x:c r="F24" s="18" t="n">
        <x:v>-12.7</x:v>
      </x:c>
      <x:c r="G24" s="14" t="n">
        <x:v>1383</x:v>
      </x:c>
      <x:c r="H24" s="18" t="n">
        <x:v>5</x:v>
      </x:c>
      <x:c r="I24" s="11" t="str">
        <x:v>At or above 2019</x:v>
      </x:c>
      <x:c r="J24" s="16" t="n">
        <x:v>6.06</x:v>
      </x:c>
      <x:c r="K24" s="58" t="n">
        <x:f>D24-C24</x:f>
        <x:v>1383</x:v>
      </x:c>
      <x:c r="L24" t="str">
        <x:f>IF(K24=G24,"PASS","REVIEW")</x:f>
        <x:v>PASS</x:v>
      </x:c>
    </x:row>
    <x:row r="25">
      <x:c r="A25" s="11" t="str">
        <x:v>MN</x:v>
      </x:c>
      <x:c r="B25" s="14" t="n">
        <x:v>15092</x:v>
      </x:c>
      <x:c r="C25" s="14" t="n">
        <x:v>14715</x:v>
      </x:c>
      <x:c r="D25" s="14" t="n">
        <x:v>14226</x:v>
      </x:c>
      <x:c r="E25" s="14" t="n">
        <x:v>-866</x:v>
      </x:c>
      <x:c r="F25" s="18" t="n">
        <x:v>-5.7</x:v>
      </x:c>
      <x:c r="G25" s="14" t="n">
        <x:v>-489</x:v>
      </x:c>
      <x:c r="H25" s="18" t="n">
        <x:v>-3.3</x:v>
      </x:c>
      <x:c r="I25" s="11" t="str">
        <x:v>Below 2019</x:v>
      </x:c>
      <x:c r="J25" s="16" t="n">
        <x:v>3.46</x:v>
      </x:c>
      <x:c r="K25" s="58" t="n">
        <x:f>D25-C25</x:f>
        <x:v>-489</x:v>
      </x:c>
      <x:c r="L25" t="str">
        <x:f>IF(K25=G25,"PASS","REVIEW")</x:f>
        <x:v>PASS</x:v>
      </x:c>
    </x:row>
    <x:row r="26">
      <x:c r="A26" s="11" t="str">
        <x:v>MO</x:v>
      </x:c>
      <x:c r="B26" s="14" t="n">
        <x:v>21690</x:v>
      </x:c>
      <x:c r="C26" s="14" t="n">
        <x:v>16288</x:v>
      </x:c>
      <x:c r="D26" s="14" t="n">
        <x:v>27436</x:v>
      </x:c>
      <x:c r="E26" s="14" t="n">
        <x:v>5746</x:v>
      </x:c>
      <x:c r="F26" s="18" t="n">
        <x:v>26.5</x:v>
      </x:c>
      <x:c r="G26" s="14" t="n">
        <x:v>11148</x:v>
      </x:c>
      <x:c r="H26" s="18" t="n">
        <x:v>68.4</x:v>
      </x:c>
      <x:c r="I26" s="11" t="str">
        <x:v>At or above 2019</x:v>
      </x:c>
      <x:c r="J26" s="16" t="n">
        <x:v>8.03</x:v>
      </x:c>
      <x:c r="K26" s="58" t="n">
        <x:f>D26-C26</x:f>
        <x:v>11148</x:v>
      </x:c>
      <x:c r="L26" t="str">
        <x:f>IF(K26=G26,"PASS","REVIEW")</x:f>
        <x:v>PASS</x:v>
      </x:c>
    </x:row>
    <x:row r="27">
      <x:c r="A27" s="11" t="str">
        <x:v>MS</x:v>
      </x:c>
      <x:c r="B27" s="14" t="n">
        <x:v>3350</x:v>
      </x:c>
      <x:c r="C27" s="14" t="n">
        <x:v>3082</x:v>
      </x:c>
      <x:c r="D27" s="14" t="n">
        <x:v>4513</x:v>
      </x:c>
      <x:c r="E27" s="14" t="n">
        <x:v>1163</x:v>
      </x:c>
      <x:c r="F27" s="18" t="n">
        <x:v>34.7</x:v>
      </x:c>
      <x:c r="G27" s="14" t="n">
        <x:v>1431</x:v>
      </x:c>
      <x:c r="H27" s="18" t="n">
        <x:v>46.4</x:v>
      </x:c>
      <x:c r="I27" s="11" t="str">
        <x:v>At or above 2019</x:v>
      </x:c>
      <x:c r="J27" s="16" t="n">
        <x:v>2.75</x:v>
      </x:c>
      <x:c r="K27" s="58" t="n">
        <x:f>D27-C27</x:f>
        <x:v>1431</x:v>
      </x:c>
      <x:c r="L27" t="str">
        <x:f>IF(K27=G27,"PASS","REVIEW")</x:f>
        <x:v>PASS</x:v>
      </x:c>
    </x:row>
    <x:row r="28">
      <x:c r="A28" s="11" t="str">
        <x:v>MT</x:v>
      </x:c>
      <x:c r="B28" s="14" t="n">
        <x:v>1751</x:v>
      </x:c>
      <x:c r="C28" s="14" t="n">
        <x:v>1197</x:v>
      </x:c>
      <x:c r="D28" s="14" t="n">
        <x:v>841</x:v>
      </x:c>
      <x:c r="E28" s="14" t="n">
        <x:v>-910</x:v>
      </x:c>
      <x:c r="F28" s="18" t="n">
        <x:v>-52</x:v>
      </x:c>
      <x:c r="G28" s="14" t="n">
        <x:v>-356</x:v>
      </x:c>
      <x:c r="H28" s="18" t="n">
        <x:v>-29.7</x:v>
      </x:c>
      <x:c r="I28" s="11" t="str">
        <x:v>Below 2019</x:v>
      </x:c>
      <x:c r="J28" s="16" t="n">
        <x:v>1.74</x:v>
      </x:c>
      <x:c r="K28" s="58" t="n">
        <x:f>D28-C28</x:f>
        <x:v>-356</x:v>
      </x:c>
      <x:c r="L28" t="str">
        <x:f>IF(K28=G28,"PASS","REVIEW")</x:f>
        <x:v>PASS</x:v>
      </x:c>
    </x:row>
    <x:row r="29">
      <x:c r="A29" s="11" t="str">
        <x:v>NC</x:v>
      </x:c>
      <x:c r="B29" s="14" t="n">
        <x:v>19531</x:v>
      </x:c>
      <x:c r="C29" s="14" t="n">
        <x:v>20059</x:v>
      </x:c>
      <x:c r="D29" s="14" t="n">
        <x:v>22256</x:v>
      </x:c>
      <x:c r="E29" s="14" t="n">
        <x:v>2725</x:v>
      </x:c>
      <x:c r="F29" s="18" t="n">
        <x:v>14</x:v>
      </x:c>
      <x:c r="G29" s="14" t="n">
        <x:v>2197</x:v>
      </x:c>
      <x:c r="H29" s="18" t="n">
        <x:v>11</x:v>
      </x:c>
      <x:c r="I29" s="11" t="str">
        <x:v>At or above 2019</x:v>
      </x:c>
      <x:c r="J29" s="16" t="n">
        <x:v>3.83</x:v>
      </x:c>
      <x:c r="K29" s="58" t="n">
        <x:f>D29-C29</x:f>
        <x:v>2197</x:v>
      </x:c>
      <x:c r="L29" t="str">
        <x:f>IF(K29=G29,"PASS","REVIEW")</x:f>
        <x:v>PASS</x:v>
      </x:c>
    </x:row>
    <x:row r="30">
      <x:c r="A30" s="11" t="str">
        <x:v>ND</x:v>
      </x:c>
      <x:c r="B30" s="14" t="n">
        <x:v>2901</x:v>
      </x:c>
      <x:c r="C30" s="14" t="n">
        <x:v>2284</x:v>
      </x:c>
      <x:c r="D30" s="14" t="n">
        <x:v>2562</x:v>
      </x:c>
      <x:c r="E30" s="14" t="n">
        <x:v>-339</x:v>
      </x:c>
      <x:c r="F30" s="18" t="n">
        <x:v>-11.7</x:v>
      </x:c>
      <x:c r="G30" s="14" t="n">
        <x:v>278</x:v>
      </x:c>
      <x:c r="H30" s="18" t="n">
        <x:v>12.2</x:v>
      </x:c>
      <x:c r="I30" s="11" t="str">
        <x:v>At or above 2019</x:v>
      </x:c>
      <x:c r="J30" s="16" t="n">
        <x:v>4.79</x:v>
      </x:c>
      <x:c r="K30" s="58" t="n">
        <x:f>D30-C30</x:f>
        <x:v>278</x:v>
      </x:c>
      <x:c r="L30" t="str">
        <x:f>IF(K30=G30,"PASS","REVIEW")</x:f>
        <x:v>PASS</x:v>
      </x:c>
    </x:row>
    <x:row r="31">
      <x:c r="A31" s="11" t="str">
        <x:v>NE</x:v>
      </x:c>
      <x:c r="B31" s="14" t="n">
        <x:v>5525</x:v>
      </x:c>
      <x:c r="C31" s="14" t="n">
        <x:v>5110</x:v>
      </x:c>
      <x:c r="D31" s="14" t="n">
        <x:v>4381</x:v>
      </x:c>
      <x:c r="E31" s="14" t="n">
        <x:v>-1144</x:v>
      </x:c>
      <x:c r="F31" s="18" t="n">
        <x:v>-20.7</x:v>
      </x:c>
      <x:c r="G31" s="14" t="n">
        <x:v>-729</x:v>
      </x:c>
      <x:c r="H31" s="18" t="n">
        <x:v>-14.3</x:v>
      </x:c>
      <x:c r="I31" s="11" t="str">
        <x:v>Below 2019</x:v>
      </x:c>
      <x:c r="J31" s="16" t="n">
        <x:v>3.12</x:v>
      </x:c>
      <x:c r="K31" s="58" t="n">
        <x:f>D31-C31</x:f>
        <x:v>-729</x:v>
      </x:c>
      <x:c r="L31" t="str">
        <x:f>IF(K31=G31,"PASS","REVIEW")</x:f>
        <x:v>PASS</x:v>
      </x:c>
    </x:row>
    <x:row r="32">
      <x:c r="A32" s="11" t="str">
        <x:v>NH</x:v>
      </x:c>
      <x:c r="B32" s="14" t="n">
        <x:v>3256</x:v>
      </x:c>
      <x:c r="C32" s="14" t="n">
        <x:v>4045</x:v>
      </x:c>
      <x:c r="D32" s="14" t="n">
        <x:v>5255</x:v>
      </x:c>
      <x:c r="E32" s="14" t="n">
        <x:v>1999</x:v>
      </x:c>
      <x:c r="F32" s="18" t="n">
        <x:v>61.4</x:v>
      </x:c>
      <x:c r="G32" s="14" t="n">
        <x:v>1210</x:v>
      </x:c>
      <x:c r="H32" s="18" t="n">
        <x:v>29.9</x:v>
      </x:c>
      <x:c r="I32" s="11" t="str">
        <x:v>At or above 2019</x:v>
      </x:c>
      <x:c r="J32" s="16" t="n">
        <x:v>2.18</x:v>
      </x:c>
      <x:c r="K32" s="58" t="n">
        <x:f>D32-C32</x:f>
        <x:v>1210</x:v>
      </x:c>
      <x:c r="L32" t="str">
        <x:f>IF(K32=G32,"PASS","REVIEW")</x:f>
        <x:v>PASS</x:v>
      </x:c>
    </x:row>
    <x:row r="33">
      <x:c r="A33" s="11" t="str">
        <x:v>NJ</x:v>
      </x:c>
      <x:c r="B33" s="14" t="n">
        <x:v>21054</x:v>
      </x:c>
      <x:c r="C33" s="14" t="n">
        <x:v>21945</x:v>
      </x:c>
      <x:c r="D33" s="14" t="n">
        <x:v>25171</x:v>
      </x:c>
      <x:c r="E33" s="14" t="n">
        <x:v>4117</x:v>
      </x:c>
      <x:c r="F33" s="18" t="n">
        <x:v>19.6</x:v>
      </x:c>
      <x:c r="G33" s="14" t="n">
        <x:v>3226</x:v>
      </x:c>
      <x:c r="H33" s="18" t="n">
        <x:v>14.7</x:v>
      </x:c>
      <x:c r="I33" s="11" t="str">
        <x:v>At or above 2019</x:v>
      </x:c>
      <x:c r="J33" s="16" t="n">
        <x:v>6.4</x:v>
      </x:c>
      <x:c r="K33" s="58" t="n">
        <x:f>D33-C33</x:f>
        <x:v>3226</x:v>
      </x:c>
      <x:c r="L33" t="str">
        <x:f>IF(K33=G33,"PASS","REVIEW")</x:f>
        <x:v>PASS</x:v>
      </x:c>
    </x:row>
    <x:row r="34">
      <x:c r="A34" s="11" t="str">
        <x:v>NM</x:v>
      </x:c>
      <x:c r="B34" s="14" t="n">
        <x:v>3994</x:v>
      </x:c>
      <x:c r="C34" s="14" t="n">
        <x:v>3094</x:v>
      </x:c>
      <x:c r="D34" s="14" t="n">
        <x:v>3252</x:v>
      </x:c>
      <x:c r="E34" s="14" t="n">
        <x:v>-742</x:v>
      </x:c>
      <x:c r="F34" s="18" t="n">
        <x:v>-18.6</x:v>
      </x:c>
      <x:c r="G34" s="14" t="n">
        <x:v>158</x:v>
      </x:c>
      <x:c r="H34" s="18" t="n">
        <x:v>5.1</x:v>
      </x:c>
      <x:c r="I34" s="11" t="str">
        <x:v>At or above 2019</x:v>
      </x:c>
      <x:c r="J34" s="16" t="n">
        <x:v>2.84</x:v>
      </x:c>
      <x:c r="K34" s="58" t="n">
        <x:f>D34-C34</x:f>
        <x:v>158</x:v>
      </x:c>
      <x:c r="L34" t="str">
        <x:f>IF(K34=G34,"PASS","REVIEW")</x:f>
        <x:v>PASS</x:v>
      </x:c>
    </x:row>
    <x:row r="35">
      <x:c r="A35" s="11" t="str">
        <x:v>NV</x:v>
      </x:c>
      <x:c r="B35" s="14" t="n">
        <x:v>2436</x:v>
      </x:c>
      <x:c r="C35" s="14" t="n">
        <x:v>2101</x:v>
      </x:c>
      <x:c r="D35" s="14" t="n">
        <x:v>1996</x:v>
      </x:c>
      <x:c r="E35" s="14" t="n">
        <x:v>-440</x:v>
      </x:c>
      <x:c r="F35" s="18" t="n">
        <x:v>-18.1</x:v>
      </x:c>
      <x:c r="G35" s="14" t="n">
        <x:v>-105</x:v>
      </x:c>
      <x:c r="H35" s="18" t="n">
        <x:v>-5</x:v>
      </x:c>
      <x:c r="I35" s="11" t="str">
        <x:v>Below 2019</x:v>
      </x:c>
      <x:c r="J35" s="16" t="n">
        <x:v>1.65</x:v>
      </x:c>
      <x:c r="K35" s="58" t="n">
        <x:f>D35-C35</x:f>
        <x:v>-105</x:v>
      </x:c>
      <x:c r="L35" t="str">
        <x:f>IF(K35=G35,"PASS","REVIEW")</x:f>
        <x:v>PASS</x:v>
      </x:c>
    </x:row>
    <x:row r="36">
      <x:c r="A36" s="11" t="str">
        <x:v>NY</x:v>
      </x:c>
      <x:c r="B36" s="14" t="n">
        <x:v>104945</x:v>
      </x:c>
      <x:c r="C36" s="14" t="n">
        <x:v>109194</x:v>
      </x:c>
      <x:c r="D36" s="14" t="n">
        <x:v>116228</x:v>
      </x:c>
      <x:c r="E36" s="14" t="n">
        <x:v>11283</x:v>
      </x:c>
      <x:c r="F36" s="18" t="n">
        <x:v>10.8</x:v>
      </x:c>
      <x:c r="G36" s="14" t="n">
        <x:v>7034</x:v>
      </x:c>
      <x:c r="H36" s="18" t="n">
        <x:v>6.4</x:v>
      </x:c>
      <x:c r="I36" s="11" t="str">
        <x:v>At or above 2019</x:v>
      </x:c>
      <x:c r="J36" s="16" t="n">
        <x:v>10.11</x:v>
      </x:c>
      <x:c r="K36" s="58" t="n">
        <x:f>D36-C36</x:f>
        <x:v>7034</x:v>
      </x:c>
      <x:c r="L36" t="str">
        <x:f>IF(K36=G36,"PASS","REVIEW")</x:f>
        <x:v>PASS</x:v>
      </x:c>
    </x:row>
    <x:row r="37">
      <x:c r="A37" s="11" t="str">
        <x:v>OH</x:v>
      </x:c>
      <x:c r="B37" s="14" t="n">
        <x:v>34111</x:v>
      </x:c>
      <x:c r="C37" s="14" t="n">
        <x:v>29848</x:v>
      </x:c>
      <x:c r="D37" s="14" t="n">
        <x:v>33106</x:v>
      </x:c>
      <x:c r="E37" s="14" t="n">
        <x:v>-1005</x:v>
      </x:c>
      <x:c r="F37" s="18" t="n">
        <x:v>-2.9</x:v>
      </x:c>
      <x:c r="G37" s="14" t="n">
        <x:v>3258</x:v>
      </x:c>
      <x:c r="H37" s="18" t="n">
        <x:v>10.9</x:v>
      </x:c>
      <x:c r="I37" s="11" t="str">
        <x:v>At or above 2019</x:v>
      </x:c>
      <x:c r="J37" s="16" t="n">
        <x:v>5.43</x:v>
      </x:c>
      <x:c r="K37" s="58" t="n">
        <x:f>D37-C37</x:f>
        <x:v>3258</x:v>
      </x:c>
      <x:c r="L37" t="str">
        <x:f>IF(K37=G37,"PASS","REVIEW")</x:f>
        <x:v>PASS</x:v>
      </x:c>
    </x:row>
    <x:row r="38">
      <x:c r="A38" s="11" t="str">
        <x:v>OK</x:v>
      </x:c>
      <x:c r="B38" s="14" t="n">
        <x:v>11293</x:v>
      </x:c>
      <x:c r="C38" s="14" t="n">
        <x:v>8566</x:v>
      </x:c>
      <x:c r="D38" s="14" t="n">
        <x:v>8550</x:v>
      </x:c>
      <x:c r="E38" s="14" t="n">
        <x:v>-2743</x:v>
      </x:c>
      <x:c r="F38" s="18" t="n">
        <x:v>-24.3</x:v>
      </x:c>
      <x:c r="G38" s="14" t="n">
        <x:v>-16</x:v>
      </x:c>
      <x:c r="H38" s="18" t="n">
        <x:v>-0.2</x:v>
      </x:c>
      <x:c r="I38" s="11" t="str">
        <x:v>Below 2019</x:v>
      </x:c>
      <x:c r="J38" s="16" t="n">
        <x:v>4.31</x:v>
      </x:c>
      <x:c r="K38" s="58" t="n">
        <x:f>D38-C38</x:f>
        <x:v>-16</x:v>
      </x:c>
      <x:c r="L38" t="str">
        <x:f>IF(K38=G38,"PASS","REVIEW")</x:f>
        <x:v>PASS</x:v>
      </x:c>
    </x:row>
    <x:row r="39">
      <x:c r="A39" s="11" t="str">
        <x:v>OR</x:v>
      </x:c>
      <x:c r="B39" s="14" t="n">
        <x:v>12382</x:v>
      </x:c>
      <x:c r="C39" s="14" t="n">
        <x:v>10109</x:v>
      </x:c>
      <x:c r="D39" s="14" t="n">
        <x:v>5844</x:v>
      </x:c>
      <x:c r="E39" s="14" t="n">
        <x:v>-6538</x:v>
      </x:c>
      <x:c r="F39" s="18" t="n">
        <x:v>-52.8</x:v>
      </x:c>
      <x:c r="G39" s="14" t="n">
        <x:v>-4265</x:v>
      </x:c>
      <x:c r="H39" s="18" t="n">
        <x:v>-42.2</x:v>
      </x:c>
      <x:c r="I39" s="11" t="str">
        <x:v>Below 2019</x:v>
      </x:c>
      <x:c r="J39" s="16" t="n">
        <x:v>2.89</x:v>
      </x:c>
      <x:c r="K39" s="58" t="n">
        <x:f>D39-C39</x:f>
        <x:v>-4265</x:v>
      </x:c>
      <x:c r="L39" t="str">
        <x:f>IF(K39=G39,"PASS","REVIEW")</x:f>
        <x:v>PASS</x:v>
      </x:c>
    </x:row>
    <x:row r="40">
      <x:c r="A40" s="11" t="str">
        <x:v>PA</x:v>
      </x:c>
      <x:c r="B40" s="14" t="n">
        <x:v>45790</x:v>
      </x:c>
      <x:c r="C40" s="14" t="n">
        <x:v>46060</x:v>
      </x:c>
      <x:c r="D40" s="14" t="n">
        <x:v>44983</x:v>
      </x:c>
      <x:c r="E40" s="14" t="n">
        <x:v>-807</x:v>
      </x:c>
      <x:c r="F40" s="18" t="n">
        <x:v>-1.8</x:v>
      </x:c>
      <x:c r="G40" s="14" t="n">
        <x:v>-1077</x:v>
      </x:c>
      <x:c r="H40" s="18" t="n">
        <x:v>-2.3</x:v>
      </x:c>
      <x:c r="I40" s="11" t="str">
        <x:v>Below 2019</x:v>
      </x:c>
      <x:c r="J40" s="16" t="n">
        <x:v>7.08</x:v>
      </x:c>
      <x:c r="K40" s="58" t="n">
        <x:f>D40-C40</x:f>
        <x:v>-1077</x:v>
      </x:c>
      <x:c r="L40" t="str">
        <x:f>IF(K40=G40,"PASS","REVIEW")</x:f>
        <x:v>PASS</x:v>
      </x:c>
    </x:row>
    <x:row r="41">
      <x:c r="A41" s="11" t="str">
        <x:v>RI</x:v>
      </x:c>
      <x:c r="B41" s="14" t="n">
        <x:v>5050</x:v>
      </x:c>
      <x:c r="C41" s="14" t="n">
        <x:v>4504</x:v>
      </x:c>
      <x:c r="D41" s="14" t="n">
        <x:v>5743</x:v>
      </x:c>
      <x:c r="E41" s="14" t="n">
        <x:v>693</x:v>
      </x:c>
      <x:c r="F41" s="18" t="n">
        <x:v>13.7</x:v>
      </x:c>
      <x:c r="G41" s="14" t="n">
        <x:v>1239</x:v>
      </x:c>
      <x:c r="H41" s="18" t="n">
        <x:v>27.5</x:v>
      </x:c>
      <x:c r="I41" s="11" t="str">
        <x:v>At or above 2019</x:v>
      </x:c>
      <x:c r="J41" s="16" t="n">
        <x:v>7.6</x:v>
      </x:c>
      <x:c r="K41" s="58" t="n">
        <x:f>D41-C41</x:f>
        <x:v>1239</x:v>
      </x:c>
      <x:c r="L41" t="str">
        <x:f>IF(K41=G41,"PASS","REVIEW")</x:f>
        <x:v>PASS</x:v>
      </x:c>
    </x:row>
    <x:row r="42">
      <x:c r="A42" s="11" t="str">
        <x:v>SC</x:v>
      </x:c>
      <x:c r="B42" s="14" t="n">
        <x:v>5093</x:v>
      </x:c>
      <x:c r="C42" s="14" t="n">
        <x:v>5347</x:v>
      </x:c>
      <x:c r="D42" s="14" t="n">
        <x:v>5900</x:v>
      </x:c>
      <x:c r="E42" s="14" t="n">
        <x:v>807</x:v>
      </x:c>
      <x:c r="F42" s="18" t="n">
        <x:v>15.8</x:v>
      </x:c>
      <x:c r="G42" s="14" t="n">
        <x:v>553</x:v>
      </x:c>
      <x:c r="H42" s="18" t="n">
        <x:v>10.3</x:v>
      </x:c>
      <x:c r="I42" s="11" t="str">
        <x:v>At or above 2019</x:v>
      </x:c>
      <x:c r="J42" s="16" t="n">
        <x:v>2.31</x:v>
      </x:c>
      <x:c r="K42" s="58" t="n">
        <x:f>D42-C42</x:f>
        <x:v>553</x:v>
      </x:c>
      <x:c r="L42" t="str">
        <x:f>IF(K42=G42,"PASS","REVIEW")</x:f>
        <x:v>PASS</x:v>
      </x:c>
    </x:row>
    <x:row r="43">
      <x:c r="A43" s="11" t="str">
        <x:v>SD</x:v>
      </x:c>
      <x:c r="B43" s="14" t="n">
        <x:v>1827</x:v>
      </x:c>
      <x:c r="C43" s="14" t="n">
        <x:v>1715</x:v>
      </x:c>
      <x:c r="D43" s="14" t="n">
        <x:v>2703</x:v>
      </x:c>
      <x:c r="E43" s="14" t="n">
        <x:v>876</x:v>
      </x:c>
      <x:c r="F43" s="18" t="n">
        <x:v>47.9</x:v>
      </x:c>
      <x:c r="G43" s="14" t="n">
        <x:v>988</x:v>
      </x:c>
      <x:c r="H43" s="18" t="n">
        <x:v>57.6</x:v>
      </x:c>
      <x:c r="I43" s="11" t="str">
        <x:v>At or above 2019</x:v>
      </x:c>
      <x:c r="J43" s="16" t="n">
        <x:v>4.99</x:v>
      </x:c>
      <x:c r="K43" s="58" t="n">
        <x:f>D43-C43</x:f>
        <x:v>988</x:v>
      </x:c>
      <x:c r="L43" t="str">
        <x:f>IF(K43=G43,"PASS","REVIEW")</x:f>
        <x:v>PASS</x:v>
      </x:c>
    </x:row>
    <x:row r="44">
      <x:c r="A44" s="11" t="str">
        <x:v>TN</x:v>
      </x:c>
      <x:c r="B44" s="14" t="n">
        <x:v>9881</x:v>
      </x:c>
      <x:c r="C44" s="14" t="n">
        <x:v>8064</x:v>
      </x:c>
      <x:c r="D44" s="14" t="n">
        <x:v>11100</x:v>
      </x:c>
      <x:c r="E44" s="14" t="n">
        <x:v>1219</x:v>
      </x:c>
      <x:c r="F44" s="18" t="n">
        <x:v>12.3</x:v>
      </x:c>
      <x:c r="G44" s="14" t="n">
        <x:v>3036</x:v>
      </x:c>
      <x:c r="H44" s="18" t="n">
        <x:v>37.6</x:v>
      </x:c>
      <x:c r="I44" s="11" t="str">
        <x:v>At or above 2019</x:v>
      </x:c>
      <x:c r="J44" s="16" t="n">
        <x:v>3.41</x:v>
      </x:c>
      <x:c r="K44" s="58" t="n">
        <x:f>D44-C44</x:f>
        <x:v>3036</x:v>
      </x:c>
      <x:c r="L44" t="str">
        <x:f>IF(K44=G44,"PASS","REVIEW")</x:f>
        <x:v>PASS</x:v>
      </x:c>
    </x:row>
    <x:row r="45">
      <x:c r="A45" s="11" t="str">
        <x:v>TX</x:v>
      </x:c>
      <x:c r="B45" s="14" t="n">
        <x:v>72878</x:v>
      </x:c>
      <x:c r="C45" s="14" t="n">
        <x:v>63451</x:v>
      </x:c>
      <x:c r="D45" s="14" t="n">
        <x:v>77730</x:v>
      </x:c>
      <x:c r="E45" s="14" t="n">
        <x:v>4852</x:v>
      </x:c>
      <x:c r="F45" s="18" t="n">
        <x:v>6.7</x:v>
      </x:c>
      <x:c r="G45" s="14" t="n">
        <x:v>14279</x:v>
      </x:c>
      <x:c r="H45" s="18" t="n">
        <x:v>22.5</x:v>
      </x:c>
      <x:c r="I45" s="11" t="str">
        <x:v>At or above 2019</x:v>
      </x:c>
      <x:c r="J45" s="16" t="n">
        <x:v>4.65</x:v>
      </x:c>
      <x:c r="K45" s="58" t="n">
        <x:f>D45-C45</x:f>
        <x:v>14279</x:v>
      </x:c>
      <x:c r="L45" t="str">
        <x:f>IF(K45=G45,"PASS","REVIEW")</x:f>
        <x:v>PASS</x:v>
      </x:c>
    </x:row>
    <x:row r="46">
      <x:c r="A46" s="11" t="str">
        <x:v>UT</x:v>
      </x:c>
      <x:c r="B46" s="14" t="n">
        <x:v>7397</x:v>
      </x:c>
      <x:c r="C46" s="14" t="n">
        <x:v>7399</x:v>
      </x:c>
      <x:c r="D46" s="14" t="n">
        <x:v>9233</x:v>
      </x:c>
      <x:c r="E46" s="14" t="n">
        <x:v>1836</x:v>
      </x:c>
      <x:c r="F46" s="18" t="n">
        <x:v>24.8</x:v>
      </x:c>
      <x:c r="G46" s="14" t="n">
        <x:v>1834</x:v>
      </x:c>
      <x:c r="H46" s="18" t="n">
        <x:v>24.8</x:v>
      </x:c>
      <x:c r="I46" s="11" t="str">
        <x:v>At or above 2019</x:v>
      </x:c>
      <x:c r="J46" s="16" t="n">
        <x:v>1.95</x:v>
      </x:c>
      <x:c r="K46" s="58" t="n">
        <x:f>D46-C46</x:f>
        <x:v>1834</x:v>
      </x:c>
      <x:c r="L46" t="str">
        <x:f>IF(K46=G46,"PASS","REVIEW")</x:f>
        <x:v>PASS</x:v>
      </x:c>
    </x:row>
    <x:row r="47">
      <x:c r="A47" s="11" t="str">
        <x:v>VA</x:v>
      </x:c>
      <x:c r="B47" s="14" t="n">
        <x:v>18271</x:v>
      </x:c>
      <x:c r="C47" s="14" t="n">
        <x:v>19244</x:v>
      </x:c>
      <x:c r="D47" s="14" t="n">
        <x:v>22500</x:v>
      </x:c>
      <x:c r="E47" s="14" t="n">
        <x:v>4229</x:v>
      </x:c>
      <x:c r="F47" s="18" t="n">
        <x:v>23.1</x:v>
      </x:c>
      <x:c r="G47" s="14" t="n">
        <x:v>3256</x:v>
      </x:c>
      <x:c r="H47" s="18" t="n">
        <x:v>16.9</x:v>
      </x:c>
      <x:c r="I47" s="11" t="str">
        <x:v>At or above 2019</x:v>
      </x:c>
      <x:c r="J47" s="16" t="n">
        <x:v>3.91</x:v>
      </x:c>
      <x:c r="K47" s="58" t="n">
        <x:f>D47-C47</x:f>
        <x:v>3256</x:v>
      </x:c>
      <x:c r="L47" t="str">
        <x:f>IF(K47=G47,"PASS","REVIEW")</x:f>
        <x:v>PASS</x:v>
      </x:c>
    </x:row>
    <x:row r="48">
      <x:c r="A48" s="11" t="str">
        <x:v>VT</x:v>
      </x:c>
      <x:c r="B48" s="14" t="n">
        <x:v>1692</x:v>
      </x:c>
      <x:c r="C48" s="14" t="n">
        <x:v>1574</x:v>
      </x:c>
      <x:c r="D48" s="14" t="n">
        <x:v>1289</x:v>
      </x:c>
      <x:c r="E48" s="14" t="n">
        <x:v>-403</x:v>
      </x:c>
      <x:c r="F48" s="18" t="n">
        <x:v>-23.8</x:v>
      </x:c>
      <x:c r="G48" s="14" t="n">
        <x:v>-285</x:v>
      </x:c>
      <x:c r="H48" s="18" t="n">
        <x:v>-18.1</x:v>
      </x:c>
      <x:c r="I48" s="11" t="str">
        <x:v>Below 2019</x:v>
      </x:c>
      <x:c r="J48" s="16" t="n">
        <x:v>3.36</x:v>
      </x:c>
      <x:c r="K48" s="58" t="n">
        <x:f>D48-C48</x:f>
        <x:v>-285</x:v>
      </x:c>
      <x:c r="L48" t="str">
        <x:f>IF(K48=G48,"PASS","REVIEW")</x:f>
        <x:v>PASS</x:v>
      </x:c>
    </x:row>
    <x:row r="49">
      <x:c r="A49" s="11" t="str">
        <x:v>WA</x:v>
      </x:c>
      <x:c r="B49" s="14" t="n">
        <x:v>23049</x:v>
      </x:c>
      <x:c r="C49" s="14" t="n">
        <x:v>22099</x:v>
      </x:c>
      <x:c r="D49" s="14" t="n">
        <x:v>18265</x:v>
      </x:c>
      <x:c r="E49" s="14" t="n">
        <x:v>-4784</x:v>
      </x:c>
      <x:c r="F49" s="18" t="n">
        <x:v>-20.8</x:v>
      </x:c>
      <x:c r="G49" s="14" t="n">
        <x:v>-3834</x:v>
      </x:c>
      <x:c r="H49" s="18" t="n">
        <x:v>-17.3</x:v>
      </x:c>
      <x:c r="I49" s="11" t="str">
        <x:v>Below 2019</x:v>
      </x:c>
      <x:c r="J49" s="16" t="n">
        <x:v>5.51</x:v>
      </x:c>
      <x:c r="K49" s="58" t="n">
        <x:f>D49-C49</x:f>
        <x:v>-3834</x:v>
      </x:c>
      <x:c r="L49" t="str">
        <x:f>IF(K49=G49,"PASS","REVIEW")</x:f>
        <x:v>PASS</x:v>
      </x:c>
    </x:row>
    <x:row r="50">
      <x:c r="A50" s="11" t="str">
        <x:v>WI</x:v>
      </x:c>
      <x:c r="B50" s="14" t="n">
        <x:v>12084</x:v>
      </x:c>
      <x:c r="C50" s="14" t="n">
        <x:v>12213</x:v>
      </x:c>
      <x:c r="D50" s="14" t="n">
        <x:v>14040</x:v>
      </x:c>
      <x:c r="E50" s="14" t="n">
        <x:v>1956</x:v>
      </x:c>
      <x:c r="F50" s="18" t="n">
        <x:v>16.2</x:v>
      </x:c>
      <x:c r="G50" s="14" t="n">
        <x:v>1827</x:v>
      </x:c>
      <x:c r="H50" s="18" t="n">
        <x:v>15</x:v>
      </x:c>
      <x:c r="I50" s="11" t="str">
        <x:v>At or above 2019</x:v>
      </x:c>
      <x:c r="J50" s="16" t="n">
        <x:v>4.28</x:v>
      </x:c>
      <x:c r="K50" s="58" t="n">
        <x:f>D50-C50</x:f>
        <x:v>1827</x:v>
      </x:c>
      <x:c r="L50" t="str">
        <x:f>IF(K50=G50,"PASS","REVIEW")</x:f>
        <x:v>PASS</x:v>
      </x:c>
    </x:row>
    <x:row r="51">
      <x:c r="A51" s="11" t="str">
        <x:v>WV</x:v>
      </x:c>
      <x:c r="B51" s="14" t="n">
        <x:v>4181</x:v>
      </x:c>
      <x:c r="C51" s="14" t="n">
        <x:v>3690</x:v>
      </x:c>
      <x:c r="D51" s="14" t="n">
        <x:v>3012</x:v>
      </x:c>
      <x:c r="E51" s="14" t="n">
        <x:v>-1169</x:v>
      </x:c>
      <x:c r="F51" s="18" t="n">
        <x:v>-28</x:v>
      </x:c>
      <x:c r="G51" s="14" t="n">
        <x:v>-678</x:v>
      </x:c>
      <x:c r="H51" s="18" t="n">
        <x:v>-18.4</x:v>
      </x:c>
      <x:c r="I51" s="11" t="str">
        <x:v>Below 2019</x:v>
      </x:c>
      <x:c r="J51" s="16" t="n">
        <x:v>2.2</x:v>
      </x:c>
      <x:c r="K51" s="58" t="n">
        <x:f>D51-C51</x:f>
        <x:v>-678</x:v>
      </x:c>
      <x:c r="L51" t="str">
        <x:f>IF(K51=G51,"PASS","REVIEW")</x:f>
        <x:v>PASS</x:v>
      </x:c>
    </x:row>
    <x:row r="52">
      <x:c r="A52" s="11" t="str">
        <x:v>WY</x:v>
      </x:c>
      <x:c r="B52" s="14" t="n">
        <x:v>1125</x:v>
      </x:c>
      <x:c r="C52" s="14" t="n">
        <x:v>871</x:v>
      </x:c>
      <x:c r="D52" s="14" t="n">
        <x:v>907</x:v>
      </x:c>
      <x:c r="E52" s="14" t="n">
        <x:v>-218</x:v>
      </x:c>
      <x:c r="F52" s="18" t="n">
        <x:v>-19.4</x:v>
      </x:c>
      <x:c r="G52" s="14" t="n">
        <x:v>36</x:v>
      </x:c>
      <x:c r="H52" s="18" t="n">
        <x:v>4.1</x:v>
      </x:c>
      <x:c r="I52" s="11" t="str">
        <x:v>At or above 2019</x:v>
      </x:c>
      <x:c r="J52" s="16" t="n">
        <x:v>2.92</x:v>
      </x:c>
      <x:c r="K52" s="58" t="n">
        <x:f>D52-C52</x:f>
        <x:v>36</x:v>
      </x:c>
      <x:c r="L52" t="str">
        <x:f>IF(K52=G52,"PASS","REVIEW")</x:f>
        <x:v>PASS</x:v>
      </x:c>
    </x:row>
  </x:sheetData>
  <x:conditionalFormatting sqref="E2:E52">
    <x:cfRule type="colorScale" priority="1">
      <x:colorScale>
        <x:cfvo type="min"/>
        <x:cfvo type="percentile" val="50"/>
        <x:cfvo type="max"/>
        <x:color rgb="FFFDECEC"/>
        <x:color rgb="FFFFF7E6"/>
        <x:color rgb="FFE8F5F2"/>
      </x:colorScale>
    </x:cfRule>
  </x:conditionalFormatting>
  <x:conditionalFormatting sqref="G2:G52">
    <x:cfRule type="colorScale" priority="2">
      <x:colorScale>
        <x:cfvo type="min"/>
        <x:cfvo type="percentile" val="50"/>
        <x:cfvo type="max"/>
        <x:color rgb="FFFDECEC"/>
        <x:color rgb="FFFFF7E6"/>
        <x:color rgb="FFE8F5F2"/>
      </x:colorScale>
    </x:cfRule>
  </x:conditionalFormatting>
  <x:conditionalFormatting sqref="I2:I52">
    <x:cfRule type="expression" dxfId="0" priority="3">
      <x:formula>$I2="Below 2019"</x:formula>
    </x:cfRule>
    <x:cfRule type="expression" dxfId="1" priority="4">
      <x:formula>$I2="At or above 2019"</x:formula>
    </x:cfRule>
  </x:conditionalFormatting>
  <x:conditionalFormatting sqref="L2:L52">
    <x:cfRule type="expression" dxfId="6" priority="5">
      <x:formula>L2="PASS"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56042c633b4d8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18" hidden="0" customWidth="1"/>
    <x:col min="5" max="5" width="20" hidden="0" customWidth="1"/>
    <x:col min="6" max="6" width="18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2" max="12" width="42" hidden="0" customWidth="1"/>
  </x:cols>
  <x:sheetData>
    <x:row r="1" ht="30" customHeight="1">
      <x:c r="A1" s="10" t="str">
        <x:v>year</x:v>
      </x:c>
      <x:c r="B1" s="10" t="str">
        <x:v>control</x:v>
      </x:c>
      <x:c r="C1" s="10" t="str">
        <x:v>institution_count</x:v>
      </x:c>
      <x:c r="D1" s="10" t="str">
        <x:v>total_enrollment</x:v>
      </x:c>
      <x:c r="E1" s="10" t="str">
        <x:v>nonresident_enrollment</x:v>
      </x:c>
      <x:c r="F1" s="10" t="str">
        <x:v>nonresident_share_pct</x:v>
      </x:c>
      <x:c r="G1" s="10" t="str">
        <x:v>undergraduate_nonresident</x:v>
      </x:c>
      <x:c r="H1" s="10" t="str">
        <x:v>graduate_nonresident</x:v>
      </x:c>
      <x:c r="I1" s="5" t="str">
        <x:v>Recalc level total</x:v>
      </x:c>
      <x:c r="J1" s="5" t="str">
        <x:v>Level reconciliation</x:v>
      </x:c>
      <x:c r="L1" s="26" t="str">
        <x:v>Notes</x:v>
      </x:c>
    </x:row>
    <x:row r="2">
      <x:c r="A2" s="11" t="n">
        <x:v>2015</x:v>
      </x:c>
      <x:c r="B2" s="11" t="str">
        <x:v>Private for-profit</x:v>
      </x:c>
      <x:c r="C2" s="14" t="n">
        <x:v>1244</x:v>
      </x:c>
      <x:c r="D2" s="14" t="n">
        <x:v>1349470</x:v>
      </x:c>
      <x:c r="E2" s="14" t="n">
        <x:v>23840</x:v>
      </x:c>
      <x:c r="F2" s="16" t="n">
        <x:v>1.7666</x:v>
      </x:c>
      <x:c r="G2" s="14" t="n">
        <x:v>15430</x:v>
      </x:c>
      <x:c r="H2" s="14" t="n">
        <x:v>8410</x:v>
      </x:c>
      <x:c r="I2" s="20" t="n">
        <x:f>G2+H2</x:f>
        <x:v>23840</x:v>
      </x:c>
      <x:c r="J2" t="str">
        <x:f>IF(I2=E2,"PASS","REVIEW")</x:f>
        <x:v>PASS</x:v>
      </x:c>
      <x:c r="L2" s="27" t="str">
        <x:v>Control categories: public, private nonprofit, private for-profit.</x:v>
      </x:c>
    </x:row>
    <x:row r="3">
      <x:c r="A3" s="11" t="n">
        <x:v>2015</x:v>
      </x:c>
      <x:c r="B3" s="11" t="str">
        <x:v>Private nonprofit</x:v>
      </x:c>
      <x:c r="C3" s="14" t="n">
        <x:v>1698</x:v>
      </x:c>
      <x:c r="D3" s="14" t="n">
        <x:v>4065891</x:v>
      </x:c>
      <x:c r="E3" s="14" t="n">
        <x:v>330778</x:v>
      </x:c>
      <x:c r="F3" s="16" t="n">
        <x:v>8.1354</x:v>
      </x:c>
      <x:c r="G3" s="14" t="n">
        <x:v>157013</x:v>
      </x:c>
      <x:c r="H3" s="14" t="n">
        <x:v>173765</x:v>
      </x:c>
      <x:c r="I3" s="20" t="n">
        <x:f>G3+H3</x:f>
        <x:v>330778</x:v>
      </x:c>
      <x:c r="J3" t="str">
        <x:f>IF(I3=E3,"PASS","REVIEW")</x:f>
        <x:v>PASS</x:v>
      </x:c>
      <x:c r="L3" s="27" t="str">
        <x:v>Level reconciliation verifies undergraduate + graduate = total U.S. nonresident.</x:v>
      </x:c>
    </x:row>
    <x:row r="4">
      <x:c r="A4" s="11" t="n">
        <x:v>2015</x:v>
      </x:c>
      <x:c r="B4" s="11" t="str">
        <x:v>Public</x:v>
      </x:c>
      <x:c r="C4" s="14" t="n">
        <x:v>1620</x:v>
      </x:c>
      <x:c r="D4" s="14" t="n">
        <x:v>14572843</x:v>
      </x:c>
      <x:c r="E4" s="14" t="n">
        <x:v>626119</x:v>
      </x:c>
      <x:c r="F4" s="16" t="n">
        <x:v>4.2965</x:v>
      </x:c>
      <x:c r="G4" s="14" t="n">
        <x:v>391158</x:v>
      </x:c>
      <x:c r="H4" s="14" t="n">
        <x:v>234961</x:v>
      </x:c>
      <x:c r="I4" s="20" t="n">
        <x:f>G4+H4</x:f>
        <x:v>626119</x:v>
      </x:c>
      <x:c r="J4" t="str">
        <x:f>IF(I4=E4,"PASS","REVIEW")</x:f>
        <x:v>PASS</x:v>
      </x:c>
      <x:c r="L4" s="27" t="str">
        <x:v>The public analysis uses the same NCES/Digest analytic universe.</x:v>
      </x:c>
    </x:row>
    <x:row r="5">
      <x:c r="A5" s="11" t="n">
        <x:v>2016</x:v>
      </x:c>
      <x:c r="B5" s="11" t="str">
        <x:v>Private for-profit</x:v>
      </x:c>
      <x:c r="C5" s="14" t="n">
        <x:v>1054</x:v>
      </x:c>
      <x:c r="D5" s="14" t="n">
        <x:v>1182108</x:v>
      </x:c>
      <x:c r="E5" s="14" t="n">
        <x:v>23009</x:v>
      </x:c>
      <x:c r="F5" s="16" t="n">
        <x:v>1.9464</x:v>
      </x:c>
      <x:c r="G5" s="14" t="n">
        <x:v>14616</x:v>
      </x:c>
      <x:c r="H5" s="14" t="n">
        <x:v>8393</x:v>
      </x:c>
      <x:c r="I5" s="20" t="n">
        <x:f>G5+H5</x:f>
        <x:v>23009</x:v>
      </x:c>
      <x:c r="J5" t="str">
        <x:f>IF(I5=E5,"PASS","REVIEW")</x:f>
        <x:v>PASS</x:v>
      </x:c>
      <x:c r="L5" s="27" t="str">
        <x:v>Latest year: provisional.</x:v>
      </x:c>
    </x:row>
    <x:row r="6">
      <x:c r="A6" s="11" t="n">
        <x:v>2016</x:v>
      </x:c>
      <x:c r="B6" s="11" t="str">
        <x:v>Private nonprofit</x:v>
      </x:c>
      <x:c r="C6" s="14" t="n">
        <x:v>1681</x:v>
      </x:c>
      <x:c r="D6" s="14" t="n">
        <x:v>4078956</x:v>
      </x:c>
      <x:c r="E6" s="14" t="n">
        <x:v>340706</x:v>
      </x:c>
      <x:c r="F6" s="16" t="n">
        <x:v>8.3528</x:v>
      </x:c>
      <x:c r="G6" s="14" t="n">
        <x:v>158673</x:v>
      </x:c>
      <x:c r="H6" s="14" t="n">
        <x:v>182033</x:v>
      </x:c>
      <x:c r="I6" s="20" t="n">
        <x:f>G6+H6</x:f>
        <x:v>340706</x:v>
      </x:c>
      <x:c r="J6" t="str">
        <x:f>IF(I6=E6,"PASS","REVIEW")</x:f>
        <x:v>PASS</x:v>
      </x:c>
    </x:row>
    <x:row r="7">
      <x:c r="A7" s="11" t="n">
        <x:v>2016</x:v>
      </x:c>
      <x:c r="B7" s="11" t="str">
        <x:v>Public</x:v>
      </x:c>
      <x:c r="C7" s="14" t="n">
        <x:v>1623</x:v>
      </x:c>
      <x:c r="D7" s="14" t="n">
        <x:v>14585840</x:v>
      </x:c>
      <x:c r="E7" s="14" t="n">
        <x:v>632668</x:v>
      </x:c>
      <x:c r="F7" s="16" t="n">
        <x:v>4.3375</x:v>
      </x:c>
      <x:c r="G7" s="14" t="n">
        <x:v>395258</x:v>
      </x:c>
      <x:c r="H7" s="14" t="n">
        <x:v>237410</x:v>
      </x:c>
      <x:c r="I7" s="20" t="n">
        <x:f>G7+H7</x:f>
        <x:v>632668</x:v>
      </x:c>
      <x:c r="J7" t="str">
        <x:f>IF(I7=E7,"PASS","REVIEW")</x:f>
        <x:v>PASS</x:v>
      </x:c>
    </x:row>
    <x:row r="8">
      <x:c r="A8" s="11" t="n">
        <x:v>2017</x:v>
      </x:c>
      <x:c r="B8" s="11" t="str">
        <x:v>Private for-profit</x:v>
      </x:c>
      <x:c r="C8" s="14" t="n">
        <x:v>985</x:v>
      </x:c>
      <x:c r="D8" s="14" t="n">
        <x:v>1097923</x:v>
      </x:c>
      <x:c r="E8" s="14" t="n">
        <x:v>24004</x:v>
      </x:c>
      <x:c r="F8" s="16" t="n">
        <x:v>2.1863</x:v>
      </x:c>
      <x:c r="G8" s="14" t="n">
        <x:v>15064</x:v>
      </x:c>
      <x:c r="H8" s="14" t="n">
        <x:v>8940</x:v>
      </x:c>
      <x:c r="I8" s="20" t="n">
        <x:f>G8+H8</x:f>
        <x:v>24004</x:v>
      </x:c>
      <x:c r="J8" t="str">
        <x:f>IF(I8=E8,"PASS","REVIEW")</x:f>
        <x:v>PASS</x:v>
      </x:c>
    </x:row>
    <x:row r="9">
      <x:c r="A9" s="11" t="n">
        <x:v>2017</x:v>
      </x:c>
      <x:c r="B9" s="11" t="str">
        <x:v>Private nonprofit</x:v>
      </x:c>
      <x:c r="C9" s="14" t="n">
        <x:v>1687</x:v>
      </x:c>
      <x:c r="D9" s="14" t="n">
        <x:v>4108489</x:v>
      </x:c>
      <x:c r="E9" s="14" t="n">
        <x:v>351348</x:v>
      </x:c>
      <x:c r="F9" s="16" t="n">
        <x:v>8.5518</x:v>
      </x:c>
      <x:c r="G9" s="14" t="n">
        <x:v>163069</x:v>
      </x:c>
      <x:c r="H9" s="14" t="n">
        <x:v>188279</x:v>
      </x:c>
      <x:c r="I9" s="20" t="n">
        <x:f>G9+H9</x:f>
        <x:v>351348</x:v>
      </x:c>
      <x:c r="J9" t="str">
        <x:f>IF(I9=E9,"PASS","REVIEW")</x:f>
        <x:v>PASS</x:v>
      </x:c>
    </x:row>
    <x:row r="10">
      <x:c r="A10" s="11" t="n">
        <x:v>2017</x:v>
      </x:c>
      <x:c r="B10" s="11" t="str">
        <x:v>Public</x:v>
      </x:c>
      <x:c r="C10" s="14" t="n">
        <x:v>1626</x:v>
      </x:c>
      <x:c r="D10" s="14" t="n">
        <x:v>14571739</x:v>
      </x:c>
      <x:c r="E10" s="14" t="n">
        <x:v>623119</x:v>
      </x:c>
      <x:c r="F10" s="16" t="n">
        <x:v>4.2762</x:v>
      </x:c>
      <x:c r="G10" s="14" t="n">
        <x:v>394543</x:v>
      </x:c>
      <x:c r="H10" s="14" t="n">
        <x:v>228576</x:v>
      </x:c>
      <x:c r="I10" s="20" t="n">
        <x:f>G10+H10</x:f>
        <x:v>623119</x:v>
      </x:c>
      <x:c r="J10" t="str">
        <x:f>IF(I10=E10,"PASS","REVIEW")</x:f>
        <x:v>PASS</x:v>
      </x:c>
    </x:row>
    <x:row r="11">
      <x:c r="A11" s="11" t="n">
        <x:v>2018</x:v>
      </x:c>
      <x:c r="B11" s="11" t="str">
        <x:v>Private for-profit</x:v>
      </x:c>
      <x:c r="C11" s="14" t="n">
        <x:v>736</x:v>
      </x:c>
      <x:c r="D11" s="14" t="n">
        <x:v>980309</x:v>
      </x:c>
      <x:c r="E11" s="14" t="n">
        <x:v>23291</x:v>
      </x:c>
      <x:c r="F11" s="16" t="n">
        <x:v>2.3759</x:v>
      </x:c>
      <x:c r="G11" s="14" t="n">
        <x:v>13401</x:v>
      </x:c>
      <x:c r="H11" s="14" t="n">
        <x:v>9890</x:v>
      </x:c>
      <x:c r="I11" s="20" t="n">
        <x:f>G11+H11</x:f>
        <x:v>23291</x:v>
      </x:c>
      <x:c r="J11" t="str">
        <x:f>IF(I11=E11,"PASS","REVIEW")</x:f>
        <x:v>PASS</x:v>
      </x:c>
    </x:row>
    <x:row r="12">
      <x:c r="A12" s="11" t="n">
        <x:v>2018</x:v>
      </x:c>
      <x:c r="B12" s="11" t="str">
        <x:v>Private nonprofit</x:v>
      </x:c>
      <x:c r="C12" s="14" t="n">
        <x:v>1664</x:v>
      </x:c>
      <x:c r="D12" s="14" t="n">
        <x:v>4131846</x:v>
      </x:c>
      <x:c r="E12" s="14" t="n">
        <x:v>355371</x:v>
      </x:c>
      <x:c r="F12" s="16" t="n">
        <x:v>8.6008</x:v>
      </x:c>
      <x:c r="G12" s="14" t="n">
        <x:v>161990</x:v>
      </x:c>
      <x:c r="H12" s="14" t="n">
        <x:v>193381</x:v>
      </x:c>
      <x:c r="I12" s="20" t="n">
        <x:f>G12+H12</x:f>
        <x:v>355371</x:v>
      </x:c>
      <x:c r="J12" t="str">
        <x:f>IF(I12=E12,"PASS","REVIEW")</x:f>
        <x:v>PASS</x:v>
      </x:c>
    </x:row>
    <x:row r="13">
      <x:c r="A13" s="11" t="n">
        <x:v>2018</x:v>
      </x:c>
      <x:c r="B13" s="11" t="str">
        <x:v>Public</x:v>
      </x:c>
      <x:c r="C13" s="14" t="n">
        <x:v>1634</x:v>
      </x:c>
      <x:c r="D13" s="14" t="n">
        <x:v>14539257</x:v>
      </x:c>
      <x:c r="E13" s="14" t="n">
        <x:v>609826</x:v>
      </x:c>
      <x:c r="F13" s="16" t="n">
        <x:v>4.1943</x:v>
      </x:c>
      <x:c r="G13" s="14" t="n">
        <x:v>388535</x:v>
      </x:c>
      <x:c r="H13" s="14" t="n">
        <x:v>221291</x:v>
      </x:c>
      <x:c r="I13" s="20" t="n">
        <x:f>G13+H13</x:f>
        <x:v>609826</x:v>
      </x:c>
      <x:c r="J13" t="str">
        <x:f>IF(I13=E13,"PASS","REVIEW")</x:f>
        <x:v>PASS</x:v>
      </x:c>
    </x:row>
    <x:row r="14">
      <x:c r="A14" s="11" t="n">
        <x:v>2019</x:v>
      </x:c>
      <x:c r="B14" s="11" t="str">
        <x:v>Private for-profit</x:v>
      </x:c>
      <x:c r="C14" s="14" t="n">
        <x:v>688</x:v>
      </x:c>
      <x:c r="D14" s="14" t="n">
        <x:v>991159</x:v>
      </x:c>
      <x:c r="E14" s="14" t="n">
        <x:v>21089</x:v>
      </x:c>
      <x:c r="F14" s="16" t="n">
        <x:v>2.1277</x:v>
      </x:c>
      <x:c r="G14" s="14" t="n">
        <x:v>12204</x:v>
      </x:c>
      <x:c r="H14" s="14" t="n">
        <x:v>8885</x:v>
      </x:c>
      <x:c r="I14" s="20" t="n">
        <x:f>G14+H14</x:f>
        <x:v>21089</x:v>
      </x:c>
      <x:c r="J14" t="str">
        <x:f>IF(I14=E14,"PASS","REVIEW")</x:f>
        <x:v>PASS</x:v>
      </x:c>
    </x:row>
    <x:row r="15">
      <x:c r="A15" s="11" t="n">
        <x:v>2019</x:v>
      </x:c>
      <x:c r="B15" s="11" t="str">
        <x:v>Private nonprofit</x:v>
      </x:c>
      <x:c r="C15" s="14" t="n">
        <x:v>1658</x:v>
      </x:c>
      <x:c r="D15" s="14" t="n">
        <x:v>4135372</x:v>
      </x:c>
      <x:c r="E15" s="14" t="n">
        <x:v>356040</x:v>
      </x:c>
      <x:c r="F15" s="16" t="n">
        <x:v>8.6096</x:v>
      </x:c>
      <x:c r="G15" s="14" t="n">
        <x:v>159864</x:v>
      </x:c>
      <x:c r="H15" s="14" t="n">
        <x:v>196176</x:v>
      </x:c>
      <x:c r="I15" s="20" t="n">
        <x:f>G15+H15</x:f>
        <x:v>356040</x:v>
      </x:c>
      <x:c r="J15" t="str">
        <x:f>IF(I15=E15,"PASS","REVIEW")</x:f>
        <x:v>PASS</x:v>
      </x:c>
    </x:row>
    <x:row r="16">
      <x:c r="A16" s="11" t="n">
        <x:v>2019</x:v>
      </x:c>
      <x:c r="B16" s="11" t="str">
        <x:v>Public</x:v>
      </x:c>
      <x:c r="C16" s="14" t="n">
        <x:v>1601</x:v>
      </x:c>
      <x:c r="D16" s="14" t="n">
        <x:v>14503647</x:v>
      </x:c>
      <x:c r="E16" s="14" t="n">
        <x:v>595929</x:v>
      </x:c>
      <x:c r="F16" s="16" t="n">
        <x:v>4.1088</x:v>
      </x:c>
      <x:c r="G16" s="14" t="n">
        <x:v>375006</x:v>
      </x:c>
      <x:c r="H16" s="14" t="n">
        <x:v>220923</x:v>
      </x:c>
      <x:c r="I16" s="20" t="n">
        <x:f>G16+H16</x:f>
        <x:v>595929</x:v>
      </x:c>
      <x:c r="J16" t="str">
        <x:f>IF(I16=E16,"PASS","REVIEW")</x:f>
        <x:v>PASS</x:v>
      </x:c>
    </x:row>
    <x:row r="17">
      <x:c r="A17" s="11" t="n">
        <x:v>2020</x:v>
      </x:c>
      <x:c r="B17" s="11" t="str">
        <x:v>Private for-profit</x:v>
      </x:c>
      <x:c r="C17" s="14" t="n">
        <x:v>704</x:v>
      </x:c>
      <x:c r="D17" s="14" t="n">
        <x:v>1041906</x:v>
      </x:c>
      <x:c r="E17" s="14" t="n">
        <x:v>18539</x:v>
      </x:c>
      <x:c r="F17" s="16" t="n">
        <x:v>1.7793</x:v>
      </x:c>
      <x:c r="G17" s="14" t="n">
        <x:v>10455</x:v>
      </x:c>
      <x:c r="H17" s="14" t="n">
        <x:v>8084</x:v>
      </x:c>
      <x:c r="I17" s="20" t="n">
        <x:f>G17+H17</x:f>
        <x:v>18539</x:v>
      </x:c>
      <x:c r="J17" t="str">
        <x:f>IF(I17=E17,"PASS","REVIEW")</x:f>
        <x:v>PASS</x:v>
      </x:c>
    </x:row>
    <x:row r="18">
      <x:c r="A18" s="11" t="n">
        <x:v>2020</x:v>
      </x:c>
      <x:c r="B18" s="11" t="str">
        <x:v>Private nonprofit</x:v>
      </x:c>
      <x:c r="C18" s="14" t="n">
        <x:v>1638</x:v>
      </x:c>
      <x:c r="D18" s="14" t="n">
        <x:v>4101048</x:v>
      </x:c>
      <x:c r="E18" s="14" t="n">
        <x:v>317809</x:v>
      </x:c>
      <x:c r="F18" s="16" t="n">
        <x:v>7.7495</x:v>
      </x:c>
      <x:c r="G18" s="14" t="n">
        <x:v>143004</x:v>
      </x:c>
      <x:c r="H18" s="14" t="n">
        <x:v>174805</x:v>
      </x:c>
      <x:c r="I18" s="20" t="n">
        <x:f>G18+H18</x:f>
        <x:v>317809</x:v>
      </x:c>
      <x:c r="J18" t="str">
        <x:f>IF(I18=E18,"PASS","REVIEW")</x:f>
        <x:v>PASS</x:v>
      </x:c>
    </x:row>
    <x:row r="19">
      <x:c r="A19" s="11" t="n">
        <x:v>2020</x:v>
      </x:c>
      <x:c r="B19" s="11" t="str">
        <x:v>Public</x:v>
      </x:c>
      <x:c r="C19" s="14" t="n">
        <x:v>1586</x:v>
      </x:c>
      <x:c r="D19" s="14" t="n">
        <x:v>13884456</x:v>
      </x:c>
      <x:c r="E19" s="14" t="n">
        <x:v>510732</x:v>
      </x:c>
      <x:c r="F19" s="16" t="n">
        <x:v>3.6784</x:v>
      </x:c>
      <x:c r="G19" s="14" t="n">
        <x:v>313941</x:v>
      </x:c>
      <x:c r="H19" s="14" t="n">
        <x:v>196791</x:v>
      </x:c>
      <x:c r="I19" s="20" t="n">
        <x:f>G19+H19</x:f>
        <x:v>510732</x:v>
      </x:c>
      <x:c r="J19" t="str">
        <x:f>IF(I19=E19,"PASS","REVIEW")</x:f>
        <x:v>PASS</x:v>
      </x:c>
    </x:row>
    <x:row r="20">
      <x:c r="A20" s="11" t="n">
        <x:v>2021</x:v>
      </x:c>
      <x:c r="B20" s="11" t="str">
        <x:v>Private for-profit</x:v>
      </x:c>
      <x:c r="C20" s="14" t="n">
        <x:v>687</x:v>
      </x:c>
      <x:c r="D20" s="14" t="n">
        <x:v>1001255</x:v>
      </x:c>
      <x:c r="E20" s="14" t="n">
        <x:v>17212</x:v>
      </x:c>
      <x:c r="F20" s="16" t="n">
        <x:v>1.719</x:v>
      </x:c>
      <x:c r="G20" s="14" t="n">
        <x:v>10436</x:v>
      </x:c>
      <x:c r="H20" s="14" t="n">
        <x:v>6776</x:v>
      </x:c>
      <x:c r="I20" s="20" t="n">
        <x:f>G20+H20</x:f>
        <x:v>17212</x:v>
      </x:c>
      <x:c r="J20" t="str">
        <x:f>IF(I20=E20,"PASS","REVIEW")</x:f>
        <x:v>PASS</x:v>
      </x:c>
    </x:row>
    <x:row r="21">
      <x:c r="A21" s="11" t="n">
        <x:v>2021</x:v>
      </x:c>
      <x:c r="B21" s="11" t="str">
        <x:v>Private nonprofit</x:v>
      </x:c>
      <x:c r="C21" s="14" t="n">
        <x:v>1625</x:v>
      </x:c>
      <x:c r="D21" s="14" t="n">
        <x:v>4111799</x:v>
      </x:c>
      <x:c r="E21" s="14" t="n">
        <x:v>343258</x:v>
      </x:c>
      <x:c r="F21" s="16" t="n">
        <x:v>8.3481</x:v>
      </x:c>
      <x:c r="G21" s="14" t="n">
        <x:v>145143</x:v>
      </x:c>
      <x:c r="H21" s="14" t="n">
        <x:v>198115</x:v>
      </x:c>
      <x:c r="I21" s="20" t="n">
        <x:f>G21+H21</x:f>
        <x:v>343258</x:v>
      </x:c>
      <x:c r="J21" t="str">
        <x:f>IF(I21=E21,"PASS","REVIEW")</x:f>
        <x:v>PASS</x:v>
      </x:c>
    </x:row>
    <x:row r="22">
      <x:c r="A22" s="11" t="n">
        <x:v>2021</x:v>
      </x:c>
      <x:c r="B22" s="11" t="str">
        <x:v>Public</x:v>
      </x:c>
      <x:c r="C22" s="14" t="n">
        <x:v>1581</x:v>
      </x:c>
      <x:c r="D22" s="14" t="n">
        <x:v>13545702</x:v>
      </x:c>
      <x:c r="E22" s="14" t="n">
        <x:v>521526</x:v>
      </x:c>
      <x:c r="F22" s="16" t="n">
        <x:v>3.8501</x:v>
      </x:c>
      <x:c r="G22" s="14" t="n">
        <x:v>293230</x:v>
      </x:c>
      <x:c r="H22" s="14" t="n">
        <x:v>228296</x:v>
      </x:c>
      <x:c r="I22" s="20" t="n">
        <x:f>G22+H22</x:f>
        <x:v>521526</x:v>
      </x:c>
      <x:c r="J22" t="str">
        <x:f>IF(I22=E22,"PASS","REVIEW")</x:f>
        <x:v>PASS</x:v>
      </x:c>
    </x:row>
    <x:row r="23">
      <x:c r="A23" s="11" t="n">
        <x:v>2022</x:v>
      </x:c>
      <x:c r="B23" s="11" t="str">
        <x:v>Private for-profit</x:v>
      </x:c>
      <x:c r="C23" s="14" t="n">
        <x:v>682</x:v>
      </x:c>
      <x:c r="D23" s="14" t="n">
        <x:v>978070</x:v>
      </x:c>
      <x:c r="E23" s="14" t="n">
        <x:v>17540</x:v>
      </x:c>
      <x:c r="F23" s="16" t="n">
        <x:v>1.7933</x:v>
      </x:c>
      <x:c r="G23" s="14" t="n">
        <x:v>9453</x:v>
      </x:c>
      <x:c r="H23" s="14" t="n">
        <x:v>8087</x:v>
      </x:c>
      <x:c r="I23" s="20" t="n">
        <x:f>G23+H23</x:f>
        <x:v>17540</x:v>
      </x:c>
      <x:c r="J23" t="str">
        <x:f>IF(I23=E23,"PASS","REVIEW")</x:f>
        <x:v>PASS</x:v>
      </x:c>
    </x:row>
    <x:row r="24">
      <x:c r="A24" s="11" t="n">
        <x:v>2022</x:v>
      </x:c>
      <x:c r="B24" s="11" t="str">
        <x:v>Private nonprofit</x:v>
      </x:c>
      <x:c r="C24" s="14" t="n">
        <x:v>1614</x:v>
      </x:c>
      <x:c r="D24" s="14" t="n">
        <x:v>4109771</x:v>
      </x:c>
      <x:c r="E24" s="14" t="n">
        <x:v>383354</x:v>
      </x:c>
      <x:c r="F24" s="16" t="n">
        <x:v>9.3279</x:v>
      </x:c>
      <x:c r="G24" s="14" t="n">
        <x:v>152608</x:v>
      </x:c>
      <x:c r="H24" s="14" t="n">
        <x:v>230746</x:v>
      </x:c>
      <x:c r="I24" s="20" t="n">
        <x:f>G24+H24</x:f>
        <x:v>383354</x:v>
      </x:c>
      <x:c r="J24" t="str">
        <x:f>IF(I24=E24,"PASS","REVIEW")</x:f>
        <x:v>PASS</x:v>
      </x:c>
    </x:row>
    <x:row r="25">
      <x:c r="A25" s="11" t="n">
        <x:v>2022</x:v>
      </x:c>
      <x:c r="B25" s="11" t="str">
        <x:v>Public</x:v>
      </x:c>
      <x:c r="C25" s="14" t="n">
        <x:v>1598</x:v>
      </x:c>
      <x:c r="D25" s="14" t="n">
        <x:v>13495656</x:v>
      </x:c>
      <x:c r="E25" s="14" t="n">
        <x:v>562847</x:v>
      </x:c>
      <x:c r="F25" s="16" t="n">
        <x:v>4.1706</x:v>
      </x:c>
      <x:c r="G25" s="14" t="n">
        <x:v>287830</x:v>
      </x:c>
      <x:c r="H25" s="14" t="n">
        <x:v>275017</x:v>
      </x:c>
      <x:c r="I25" s="20" t="n">
        <x:f>G25+H25</x:f>
        <x:v>562847</x:v>
      </x:c>
      <x:c r="J25" t="str">
        <x:f>IF(I25=E25,"PASS","REVIEW")</x:f>
        <x:v>PASS</x:v>
      </x:c>
    </x:row>
    <x:row r="26">
      <x:c r="A26" s="11" t="n">
        <x:v>2023</x:v>
      </x:c>
      <x:c r="B26" s="11" t="str">
        <x:v>Private for-profit</x:v>
      </x:c>
      <x:c r="C26" s="14" t="n">
        <x:v>658</x:v>
      </x:c>
      <x:c r="D26" s="14" t="n">
        <x:v>1029453</x:v>
      </x:c>
      <x:c r="E26" s="14" t="n">
        <x:v>19453</x:v>
      </x:c>
      <x:c r="F26" s="16" t="n">
        <x:v>1.8896</x:v>
      </x:c>
      <x:c r="G26" s="14" t="n">
        <x:v>9527</x:v>
      </x:c>
      <x:c r="H26" s="14" t="n">
        <x:v>9926</x:v>
      </x:c>
      <x:c r="I26" s="20" t="n">
        <x:f>G26+H26</x:f>
        <x:v>19453</x:v>
      </x:c>
      <x:c r="J26" t="str">
        <x:f>IF(I26=E26,"PASS","REVIEW")</x:f>
        <x:v>PASS</x:v>
      </x:c>
    </x:row>
    <x:row r="27">
      <x:c r="A27" s="11" t="n">
        <x:v>2023</x:v>
      </x:c>
      <x:c r="B27" s="11" t="str">
        <x:v>Private nonprofit</x:v>
      </x:c>
      <x:c r="C27" s="14" t="n">
        <x:v>1597</x:v>
      </x:c>
      <x:c r="D27" s="14" t="n">
        <x:v>4182357</x:v>
      </x:c>
      <x:c r="E27" s="14" t="n">
        <x:v>405743</x:v>
      </x:c>
      <x:c r="F27" s="16" t="n">
        <x:v>9.7013</x:v>
      </x:c>
      <x:c r="G27" s="14" t="n">
        <x:v>152853</x:v>
      </x:c>
      <x:c r="H27" s="14" t="n">
        <x:v>252890</x:v>
      </x:c>
      <x:c r="I27" s="20" t="n">
        <x:f>G27+H27</x:f>
        <x:v>405743</x:v>
      </x:c>
      <x:c r="J27" t="str">
        <x:f>IF(I27=E27,"PASS","REVIEW")</x:f>
        <x:v>PASS</x:v>
      </x:c>
    </x:row>
    <x:row r="28">
      <x:c r="A28" s="11" t="n">
        <x:v>2023</x:v>
      </x:c>
      <x:c r="B28" s="11" t="str">
        <x:v>Public</x:v>
      </x:c>
      <x:c r="C28" s="14" t="n">
        <x:v>1583</x:v>
      </x:c>
      <x:c r="D28" s="14" t="n">
        <x:v>13827774</x:v>
      </x:c>
      <x:c r="E28" s="14" t="n">
        <x:v>589402</x:v>
      </x:c>
      <x:c r="F28" s="16" t="n">
        <x:v>4.2625</x:v>
      </x:c>
      <x:c r="G28" s="14" t="n">
        <x:v>294264</x:v>
      </x:c>
      <x:c r="H28" s="14" t="n">
        <x:v>295138</x:v>
      </x:c>
      <x:c r="I28" s="20" t="n">
        <x:f>G28+H28</x:f>
        <x:v>589402</x:v>
      </x:c>
      <x:c r="J28" t="str">
        <x:f>IF(I28=E28,"PASS","REVIEW")</x:f>
        <x:v>PASS</x:v>
      </x:c>
    </x:row>
    <x:row r="29">
      <x:c r="A29" s="11" t="n">
        <x:v>2024</x:v>
      </x:c>
      <x:c r="B29" s="11" t="str">
        <x:v>Private for-profit</x:v>
      </x:c>
      <x:c r="C29" s="14" t="n">
        <x:v>640</x:v>
      </x:c>
      <x:c r="D29" s="14" t="n">
        <x:v>1070687</x:v>
      </x:c>
      <x:c r="E29" s="14" t="n">
        <x:v>20502</x:v>
      </x:c>
      <x:c r="F29" s="16" t="n">
        <x:v>1.9148</x:v>
      </x:c>
      <x:c r="G29" s="14" t="n">
        <x:v>9346</x:v>
      </x:c>
      <x:c r="H29" s="14" t="n">
        <x:v>11156</x:v>
      </x:c>
      <x:c r="I29" s="20" t="n">
        <x:f>G29+H29</x:f>
        <x:v>20502</x:v>
      </x:c>
      <x:c r="J29" t="str">
        <x:f>IF(I29=E29,"PASS","REVIEW")</x:f>
        <x:v>PASS</x:v>
      </x:c>
    </x:row>
    <x:row r="30">
      <x:c r="A30" s="11" t="n">
        <x:v>2024</x:v>
      </x:c>
      <x:c r="B30" s="11" t="str">
        <x:v>Private nonprofit</x:v>
      </x:c>
      <x:c r="C30" s="14" t="n">
        <x:v>1577</x:v>
      </x:c>
      <x:c r="D30" s="14" t="n">
        <x:v>4260971</x:v>
      </x:c>
      <x:c r="E30" s="14" t="n">
        <x:v>413603</x:v>
      </x:c>
      <x:c r="F30" s="16" t="n">
        <x:v>9.7068</x:v>
      </x:c>
      <x:c r="G30" s="14" t="n">
        <x:v>156046</x:v>
      </x:c>
      <x:c r="H30" s="14" t="n">
        <x:v>257557</x:v>
      </x:c>
      <x:c r="I30" s="20" t="n">
        <x:f>G30+H30</x:f>
        <x:v>413603</x:v>
      </x:c>
      <x:c r="J30" t="str">
        <x:f>IF(I30=E30,"PASS","REVIEW")</x:f>
        <x:v>PASS</x:v>
      </x:c>
    </x:row>
    <x:row r="31">
      <x:c r="A31" s="11" t="n">
        <x:v>2024</x:v>
      </x:c>
      <x:c r="B31" s="11" t="str">
        <x:v>Public</x:v>
      </x:c>
      <x:c r="C31" s="14" t="n">
        <x:v>1580</x:v>
      </x:c>
      <x:c r="D31" s="14" t="n">
        <x:v>14327975</x:v>
      </x:c>
      <x:c r="E31" s="14" t="n">
        <x:v>610032</x:v>
      </x:c>
      <x:c r="F31" s="16" t="n">
        <x:v>4.2576</x:v>
      </x:c>
      <x:c r="G31" s="14" t="n">
        <x:v>322844</x:v>
      </x:c>
      <x:c r="H31" s="14" t="n">
        <x:v>287188</x:v>
      </x:c>
      <x:c r="I31" s="20" t="n">
        <x:f>G31+H31</x:f>
        <x:v>610032</x:v>
      </x:c>
      <x:c r="J31" t="str">
        <x:f>IF(I31=E31,"PASS","REVIEW")</x:f>
        <x:v>PASS</x:v>
      </x:c>
    </x:row>
  </x:sheetData>
  <x:conditionalFormatting sqref="J2:J31">
    <x:cfRule type="expression" dxfId="7" priority="1">
      <x:formula>J2="PASS"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d70c582c1246c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0" hidden="0" customWidth="1"/>
    <x:col min="4" max="4" width="22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48" hidden="0" customWidth="1"/>
  </x:cols>
  <x:sheetData>
    <x:row r="1" ht="30" customHeight="1">
      <x:c r="A1" s="31" t="str">
        <x:v>Latest Release QA + External Benchmark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</x:row>
    <x:row r="4">
      <x:c r="A4" s="70" t="str">
        <x:v>2023→2024 release review</x:v>
      </x:c>
      <x:c r="B4" s="70"/>
      <x:c r="C4" s="70"/>
      <x:c r="D4" s="70"/>
    </x:row>
    <x:row r="5">
      <x:c r="A5" s="5" t="str">
        <x:v>Metric</x:v>
      </x:c>
      <x:c r="B5" s="5" t="str">
        <x:v>Value</x:v>
      </x:c>
      <x:c r="D5" s="5" t="str">
        <x:v>Reconciliation check</x:v>
      </x:c>
      <x:c r="E5" s="5" t="str">
        <x:v>Value</x:v>
      </x:c>
      <x:c r="F5" s="5" t="str">
        <x:v>Benchmark QA</x:v>
      </x:c>
      <x:c r="G5" s="5" t="str">
        <x:v>Value</x:v>
      </x:c>
    </x:row>
    <x:row r="6">
      <x:c r="A6" t="str">
        <x:v>High-priority records</x:v>
      </x:c>
      <x:c r="B6" s="60" t="n">
        <x:v>27</x:v>
      </x:c>
      <x:c r="D6" t="str">
        <x:v>National change</x:v>
      </x:c>
      <x:c r="E6" s="58" t="n">
        <x:v>29539</x:v>
      </x:c>
      <x:c r="F6" t="str">
        <x:v>Checks passed</x:v>
      </x:c>
      <x:c r="G6" s="60" t="n">
        <x:f>COUNTIF(I14:I37,"PASS")</x:f>
        <x:v>24</x:v>
      </x:c>
    </x:row>
    <x:row r="7">
      <x:c r="A7" t="str">
        <x:v>Medium-priority records</x:v>
      </x:c>
      <x:c r="B7" s="60" t="n">
        <x:v>50</x:v>
      </x:c>
      <x:c r="D7" t="str">
        <x:v>Undergraduate change</x:v>
      </x:c>
      <x:c r="E7" s="58" t="n">
        <x:v>31592</x:v>
      </x:c>
      <x:c r="F7" t="str">
        <x:v>Checks total</x:v>
      </x:c>
      <x:c r="G7" s="60" t="n">
        <x:f>COUNTA(I14:I37)</x:f>
        <x:v>24</x:v>
      </x:c>
    </x:row>
    <x:row r="8">
      <x:c r="A8" t="str">
        <x:v>Low-priority records</x:v>
      </x:c>
      <x:c r="B8" s="60" t="n">
        <x:v>213</x:v>
      </x:c>
      <x:c r="D8" t="str">
        <x:v>Graduate change</x:v>
      </x:c>
      <x:c r="E8" s="58" t="n">
        <x:v>-2053</x:v>
      </x:c>
      <x:c r="F8" t="str">
        <x:v>Status</x:v>
      </x:c>
      <x:c r="G8" t="str">
        <x:f>IF(G6=G7,"PASS","REVIEW")</x:f>
        <x:v>PASS</x:v>
      </x:c>
    </x:row>
    <x:row r="9">
      <x:c r="A9" t="str">
        <x:v>Flagged total</x:v>
      </x:c>
      <x:c r="B9" s="60" t="n">
        <x:f>SUM(B6:B8)</x:f>
        <x:v>290</x:v>
      </x:c>
      <x:c r="D9" t="str">
        <x:v>UG + Grad</x:v>
      </x:c>
      <x:c r="E9" s="58" t="n">
        <x:f>E7+E8</x:f>
        <x:v>29539</x:v>
      </x:c>
    </x:row>
    <x:row r="10">
      <x:c r="A10" t="str">
        <x:v>Historical discontinuities</x:v>
      </x:c>
      <x:c r="B10" s="60" t="n">
        <x:v>2</x:v>
      </x:c>
      <x:c r="D10" t="str">
        <x:v>Entry/exit net</x:v>
      </x:c>
      <x:c r="E10" s="58" t="n">
        <x:v>-429</x:v>
      </x:c>
    </x:row>
    <x:row r="11">
      <x:c r="D11" t="str">
        <x:v>Continuing change</x:v>
      </x:c>
      <x:c r="E11" s="58" t="n">
        <x:v>29968</x:v>
      </x:c>
    </x:row>
    <x:row r="12">
      <x:c r="A12" s="70" t="str">
        <x:v>NCES Digest consistency audit</x:v>
      </x:c>
      <x:c r="B12" s="70"/>
      <x:c r="C12" s="70"/>
      <x:c r="D12" s="70"/>
      <x:c r="E12" s="70"/>
      <x:c r="F12" s="70"/>
      <x:c r="G12" s="70"/>
      <x:c r="H12" s="70"/>
      <x:c r="I12" s="70"/>
      <x:c r="J12" s="70"/>
    </x:row>
    <x:row r="13">
      <x:c r="A13" s="10" t="str">
        <x:v>year</x:v>
      </x:c>
      <x:c r="B13" s="10" t="str">
        <x:v>metric</x:v>
      </x:c>
      <x:c r="C13" s="10" t="str">
        <x:v>current_ipeds_value</x:v>
      </x:c>
      <x:c r="D13" s="10" t="str">
        <x:v>digest_published_thousands</x:v>
      </x:c>
      <x:c r="E13" s="10" t="str">
        <x:v>digest_approx_students</x:v>
      </x:c>
      <x:c r="F13" s="10" t="str">
        <x:v>difference_students</x:v>
      </x:c>
      <x:c r="G13" s="10" t="str">
        <x:v>difference_pct</x:v>
      </x:c>
      <x:c r="H13" s="10" t="str">
        <x:v>consistency_threshold_pct</x:v>
      </x:c>
      <x:c r="I13" s="10" t="str">
        <x:v>status</x:v>
      </x:c>
      <x:c r="J13" s="10" t="str">
        <x:v>digest_release_status</x:v>
      </x:c>
    </x:row>
    <x:row r="14">
      <x:c r="A14" s="90" t="n">
        <x:v>2019</x:v>
      </x:c>
      <x:c r="B14" s="11" t="str">
        <x:v>total_enrollment</x:v>
      </x:c>
      <x:c r="C14" s="14" t="n">
        <x:v>19630178</x:v>
      </x:c>
      <x:c r="D14" s="18" t="n">
        <x:v>19630.2</x:v>
      </x:c>
      <x:c r="E14" s="14" t="n">
        <x:v>19630200</x:v>
      </x:c>
      <x:c r="F14" s="14" t="n">
        <x:v>-22</x:v>
      </x:c>
      <x:c r="G14" s="88" t="n">
        <x:v>-0.0001</x:v>
      </x:c>
      <x:c r="H14" s="88" t="n">
        <x:v>0.02</x:v>
      </x:c>
      <x:c r="I14" s="11" t="str">
        <x:v>PASS</x:v>
      </x:c>
      <x:c r="J14" s="11" t="str">
        <x:v>final</x:v>
      </x:c>
    </x:row>
    <x:row r="15">
      <x:c r="A15" s="90" t="n">
        <x:v>2019</x:v>
      </x:c>
      <x:c r="B15" s="11" t="str">
        <x:v>nonresident_enrollment</x:v>
      </x:c>
      <x:c r="C15" s="14" t="n">
        <x:v>973058</x:v>
      </x:c>
      <x:c r="D15" s="18" t="n">
        <x:v>974.6</x:v>
      </x:c>
      <x:c r="E15" s="14" t="n">
        <x:v>974600</x:v>
      </x:c>
      <x:c r="F15" s="14" t="n">
        <x:v>-1542</x:v>
      </x:c>
      <x:c r="G15" s="88" t="n">
        <x:v>-0.1582</x:v>
      </x:c>
      <x:c r="H15" s="88" t="n">
        <x:v>1</x:v>
      </x:c>
      <x:c r="I15" s="11" t="str">
        <x:v>PASS</x:v>
      </x:c>
      <x:c r="J15" s="11" t="str">
        <x:v>final</x:v>
      </x:c>
    </x:row>
    <x:row r="16">
      <x:c r="A16" s="90" t="n">
        <x:v>2019</x:v>
      </x:c>
      <x:c r="B16" s="11" t="str">
        <x:v>undergraduate_nonresident</x:v>
      </x:c>
      <x:c r="C16" s="14" t="n">
        <x:v>547074</x:v>
      </x:c>
      <x:c r="D16" s="18" t="n">
        <x:v>548.6</x:v>
      </x:c>
      <x:c r="E16" s="14" t="n">
        <x:v>548600</x:v>
      </x:c>
      <x:c r="F16" s="14" t="n">
        <x:v>-1526</x:v>
      </x:c>
      <x:c r="G16" s="88" t="n">
        <x:v>-0.2782</x:v>
      </x:c>
      <x:c r="H16" s="88" t="n">
        <x:v>1</x:v>
      </x:c>
      <x:c r="I16" s="11" t="str">
        <x:v>PASS</x:v>
      </x:c>
      <x:c r="J16" s="11" t="str">
        <x:v>final</x:v>
      </x:c>
    </x:row>
    <x:row r="17">
      <x:c r="A17" s="90" t="n">
        <x:v>2019</x:v>
      </x:c>
      <x:c r="B17" s="11" t="str">
        <x:v>graduate_nonresident</x:v>
      </x:c>
      <x:c r="C17" s="14" t="n">
        <x:v>425984</x:v>
      </x:c>
      <x:c r="D17" s="18" t="n">
        <x:v>426.1</x:v>
      </x:c>
      <x:c r="E17" s="14" t="n">
        <x:v>426100</x:v>
      </x:c>
      <x:c r="F17" s="14" t="n">
        <x:v>-116</x:v>
      </x:c>
      <x:c r="G17" s="88" t="n">
        <x:v>-0.0272</x:v>
      </x:c>
      <x:c r="H17" s="88" t="n">
        <x:v>1</x:v>
      </x:c>
      <x:c r="I17" s="11" t="str">
        <x:v>PASS</x:v>
      </x:c>
      <x:c r="J17" s="11" t="str">
        <x:v>final</x:v>
      </x:c>
    </x:row>
    <x:row r="18">
      <x:c r="A18" s="90" t="n">
        <x:v>2020</x:v>
      </x:c>
      <x:c r="B18" s="11" t="str">
        <x:v>total_enrollment</x:v>
      </x:c>
      <x:c r="C18" s="14" t="n">
        <x:v>19027410</x:v>
      </x:c>
      <x:c r="D18" s="18" t="n">
        <x:v>19027.4</x:v>
      </x:c>
      <x:c r="E18" s="14" t="n">
        <x:v>19027400</x:v>
      </x:c>
      <x:c r="F18" s="14" t="n">
        <x:v>10</x:v>
      </x:c>
      <x:c r="G18" s="88" t="n">
        <x:v>0.0001</x:v>
      </x:c>
      <x:c r="H18" s="88" t="n">
        <x:v>0.02</x:v>
      </x:c>
      <x:c r="I18" s="11" t="str">
        <x:v>PASS</x:v>
      </x:c>
      <x:c r="J18" s="11" t="str">
        <x:v>final</x:v>
      </x:c>
    </x:row>
    <x:row r="19">
      <x:c r="A19" s="90" t="n">
        <x:v>2020</x:v>
      </x:c>
      <x:c r="B19" s="11" t="str">
        <x:v>nonresident_enrollment</x:v>
      </x:c>
      <x:c r="C19" s="14" t="n">
        <x:v>847080</x:v>
      </x:c>
      <x:c r="D19" s="18" t="n">
        <x:v>848.5</x:v>
      </x:c>
      <x:c r="E19" s="14" t="n">
        <x:v>848500</x:v>
      </x:c>
      <x:c r="F19" s="14" t="n">
        <x:v>-1420</x:v>
      </x:c>
      <x:c r="G19" s="88" t="n">
        <x:v>-0.1674</x:v>
      </x:c>
      <x:c r="H19" s="88" t="n">
        <x:v>1</x:v>
      </x:c>
      <x:c r="I19" s="11" t="str">
        <x:v>PASS</x:v>
      </x:c>
      <x:c r="J19" s="11" t="str">
        <x:v>final</x:v>
      </x:c>
    </x:row>
    <x:row r="20">
      <x:c r="A20" s="90" t="n">
        <x:v>2020</x:v>
      </x:c>
      <x:c r="B20" s="11" t="str">
        <x:v>undergraduate_nonresident</x:v>
      </x:c>
      <x:c r="C20" s="14" t="n">
        <x:v>467400</x:v>
      </x:c>
      <x:c r="D20" s="18" t="n">
        <x:v>468.8</x:v>
      </x:c>
      <x:c r="E20" s="14" t="n">
        <x:v>468800</x:v>
      </x:c>
      <x:c r="F20" s="14" t="n">
        <x:v>-1400</x:v>
      </x:c>
      <x:c r="G20" s="88" t="n">
        <x:v>-0.2986</x:v>
      </x:c>
      <x:c r="H20" s="88" t="n">
        <x:v>1</x:v>
      </x:c>
      <x:c r="I20" s="11" t="str">
        <x:v>PASS</x:v>
      </x:c>
      <x:c r="J20" s="11" t="str">
        <x:v>final</x:v>
      </x:c>
    </x:row>
    <x:row r="21">
      <x:c r="A21" s="90" t="n">
        <x:v>2020</x:v>
      </x:c>
      <x:c r="B21" s="11" t="str">
        <x:v>graduate_nonresident</x:v>
      </x:c>
      <x:c r="C21" s="14" t="n">
        <x:v>379680</x:v>
      </x:c>
      <x:c r="D21" s="18" t="n">
        <x:v>379.8</x:v>
      </x:c>
      <x:c r="E21" s="14" t="n">
        <x:v>379800</x:v>
      </x:c>
      <x:c r="F21" s="14" t="n">
        <x:v>-120</x:v>
      </x:c>
      <x:c r="G21" s="88" t="n">
        <x:v>-0.0316</x:v>
      </x:c>
      <x:c r="H21" s="88" t="n">
        <x:v>1</x:v>
      </x:c>
      <x:c r="I21" s="11" t="str">
        <x:v>PASS</x:v>
      </x:c>
      <x:c r="J21" s="11" t="str">
        <x:v>final</x:v>
      </x:c>
    </x:row>
    <x:row r="22">
      <x:c r="A22" s="90" t="n">
        <x:v>2021</x:v>
      </x:c>
      <x:c r="B22" s="11" t="str">
        <x:v>total_enrollment</x:v>
      </x:c>
      <x:c r="C22" s="14" t="n">
        <x:v>18658756</x:v>
      </x:c>
      <x:c r="D22" s="18" t="n">
        <x:v>18658.8</x:v>
      </x:c>
      <x:c r="E22" s="14" t="n">
        <x:v>18658800</x:v>
      </x:c>
      <x:c r="F22" s="14" t="n">
        <x:v>-44</x:v>
      </x:c>
      <x:c r="G22" s="88" t="n">
        <x:v>-0.0002</x:v>
      </x:c>
      <x:c r="H22" s="88" t="n">
        <x:v>0.02</x:v>
      </x:c>
      <x:c r="I22" s="11" t="str">
        <x:v>PASS</x:v>
      </x:c>
      <x:c r="J22" s="11" t="str">
        <x:v>final</x:v>
      </x:c>
    </x:row>
    <x:row r="23">
      <x:c r="A23" s="90" t="n">
        <x:v>2021</x:v>
      </x:c>
      <x:c r="B23" s="11" t="str">
        <x:v>nonresident_enrollment</x:v>
      </x:c>
      <x:c r="C23" s="14" t="n">
        <x:v>881996</x:v>
      </x:c>
      <x:c r="D23" s="18" t="n">
        <x:v>885.2</x:v>
      </x:c>
      <x:c r="E23" s="14" t="n">
        <x:v>885200</x:v>
      </x:c>
      <x:c r="F23" s="14" t="n">
        <x:v>-3204</x:v>
      </x:c>
      <x:c r="G23" s="88" t="n">
        <x:v>-0.362</x:v>
      </x:c>
      <x:c r="H23" s="88" t="n">
        <x:v>1</x:v>
      </x:c>
      <x:c r="I23" s="11" t="str">
        <x:v>PASS</x:v>
      </x:c>
      <x:c r="J23" s="11" t="str">
        <x:v>final</x:v>
      </x:c>
    </x:row>
    <x:row r="24">
      <x:c r="A24" s="90" t="n">
        <x:v>2021</x:v>
      </x:c>
      <x:c r="B24" s="11" t="str">
        <x:v>undergraduate_nonresident</x:v>
      </x:c>
      <x:c r="C24" s="14" t="n">
        <x:v>448809</x:v>
      </x:c>
      <x:c r="D24" s="18" t="n">
        <x:v>451.8</x:v>
      </x:c>
      <x:c r="E24" s="14" t="n">
        <x:v>451800</x:v>
      </x:c>
      <x:c r="F24" s="14" t="n">
        <x:v>-2991</x:v>
      </x:c>
      <x:c r="G24" s="88" t="n">
        <x:v>-0.662</x:v>
      </x:c>
      <x:c r="H24" s="88" t="n">
        <x:v>1</x:v>
      </x:c>
      <x:c r="I24" s="11" t="str">
        <x:v>PASS</x:v>
      </x:c>
      <x:c r="J24" s="11" t="str">
        <x:v>final</x:v>
      </x:c>
    </x:row>
    <x:row r="25">
      <x:c r="A25" s="90" t="n">
        <x:v>2021</x:v>
      </x:c>
      <x:c r="B25" s="11" t="str">
        <x:v>graduate_nonresident</x:v>
      </x:c>
      <x:c r="C25" s="14" t="n">
        <x:v>433187</x:v>
      </x:c>
      <x:c r="D25" s="18" t="n">
        <x:v>433.4</x:v>
      </x:c>
      <x:c r="E25" s="14" t="n">
        <x:v>433400</x:v>
      </x:c>
      <x:c r="F25" s="14" t="n">
        <x:v>-213</x:v>
      </x:c>
      <x:c r="G25" s="88" t="n">
        <x:v>-0.0491</x:v>
      </x:c>
      <x:c r="H25" s="88" t="n">
        <x:v>1</x:v>
      </x:c>
      <x:c r="I25" s="11" t="str">
        <x:v>PASS</x:v>
      </x:c>
      <x:c r="J25" s="11" t="str">
        <x:v>final</x:v>
      </x:c>
    </x:row>
    <x:row r="26">
      <x:c r="A26" s="90" t="n">
        <x:v>2022</x:v>
      </x:c>
      <x:c r="B26" s="11" t="str">
        <x:v>total_enrollment</x:v>
      </x:c>
      <x:c r="C26" s="14" t="n">
        <x:v>18583497</x:v>
      </x:c>
      <x:c r="D26" s="18" t="n">
        <x:v>18583.5</x:v>
      </x:c>
      <x:c r="E26" s="14" t="n">
        <x:v>18583500</x:v>
      </x:c>
      <x:c r="F26" s="14" t="n">
        <x:v>-3</x:v>
      </x:c>
      <x:c r="G26" s="88" t="n">
        <x:v>0</x:v>
      </x:c>
      <x:c r="H26" s="88" t="n">
        <x:v>0.02</x:v>
      </x:c>
      <x:c r="I26" s="11" t="str">
        <x:v>PASS</x:v>
      </x:c>
      <x:c r="J26" s="11" t="str">
        <x:v>final</x:v>
      </x:c>
    </x:row>
    <x:row r="27">
      <x:c r="A27" s="90" t="n">
        <x:v>2022</x:v>
      </x:c>
      <x:c r="B27" s="11" t="str">
        <x:v>nonresident_enrollment</x:v>
      </x:c>
      <x:c r="C27" s="14" t="n">
        <x:v>963741</x:v>
      </x:c>
      <x:c r="D27" s="18" t="n">
        <x:v>966.2</x:v>
      </x:c>
      <x:c r="E27" s="14" t="n">
        <x:v>966200</x:v>
      </x:c>
      <x:c r="F27" s="14" t="n">
        <x:v>-2459</x:v>
      </x:c>
      <x:c r="G27" s="88" t="n">
        <x:v>-0.2545</x:v>
      </x:c>
      <x:c r="H27" s="88" t="n">
        <x:v>1</x:v>
      </x:c>
      <x:c r="I27" s="11" t="str">
        <x:v>PASS</x:v>
      </x:c>
      <x:c r="J27" s="11" t="str">
        <x:v>final</x:v>
      </x:c>
    </x:row>
    <x:row r="28">
      <x:c r="A28" s="90" t="n">
        <x:v>2022</x:v>
      </x:c>
      <x:c r="B28" s="11" t="str">
        <x:v>undergraduate_nonresident</x:v>
      </x:c>
      <x:c r="C28" s="14" t="n">
        <x:v>449891</x:v>
      </x:c>
      <x:c r="D28" s="18" t="n">
        <x:v>452.1</x:v>
      </x:c>
      <x:c r="E28" s="14" t="n">
        <x:v>452100</x:v>
      </x:c>
      <x:c r="F28" s="14" t="n">
        <x:v>-2209</x:v>
      </x:c>
      <x:c r="G28" s="88" t="n">
        <x:v>-0.4886</x:v>
      </x:c>
      <x:c r="H28" s="88" t="n">
        <x:v>1</x:v>
      </x:c>
      <x:c r="I28" s="11" t="str">
        <x:v>PASS</x:v>
      </x:c>
      <x:c r="J28" s="11" t="str">
        <x:v>final</x:v>
      </x:c>
    </x:row>
    <x:row r="29">
      <x:c r="A29" s="90" t="n">
        <x:v>2022</x:v>
      </x:c>
      <x:c r="B29" s="11" t="str">
        <x:v>graduate_nonresident</x:v>
      </x:c>
      <x:c r="C29" s="14" t="n">
        <x:v>513850</x:v>
      </x:c>
      <x:c r="D29" s="18" t="n">
        <x:v>514</x:v>
      </x:c>
      <x:c r="E29" s="14" t="n">
        <x:v>514000</x:v>
      </x:c>
      <x:c r="F29" s="14" t="n">
        <x:v>-150</x:v>
      </x:c>
      <x:c r="G29" s="88" t="n">
        <x:v>-0.0292</x:v>
      </x:c>
      <x:c r="H29" s="88" t="n">
        <x:v>1</x:v>
      </x:c>
      <x:c r="I29" s="11" t="str">
        <x:v>PASS</x:v>
      </x:c>
      <x:c r="J29" s="11" t="str">
        <x:v>final</x:v>
      </x:c>
    </x:row>
    <x:row r="30">
      <x:c r="A30" s="90" t="n">
        <x:v>2023</x:v>
      </x:c>
      <x:c r="B30" s="11" t="str">
        <x:v>total_enrollment</x:v>
      </x:c>
      <x:c r="C30" s="14" t="n">
        <x:v>19039584</x:v>
      </x:c>
      <x:c r="D30" s="18" t="n">
        <x:v>19038.4</x:v>
      </x:c>
      <x:c r="E30" s="14" t="n">
        <x:v>19038400</x:v>
      </x:c>
      <x:c r="F30" s="14" t="n">
        <x:v>1184</x:v>
      </x:c>
      <x:c r="G30" s="88" t="n">
        <x:v>0.0062</x:v>
      </x:c>
      <x:c r="H30" s="88" t="n">
        <x:v>0.02</x:v>
      </x:c>
      <x:c r="I30" s="11" t="str">
        <x:v>PASS</x:v>
      </x:c>
      <x:c r="J30" s="11" t="str">
        <x:v>final</x:v>
      </x:c>
    </x:row>
    <x:row r="31">
      <x:c r="A31" s="90" t="n">
        <x:v>2023</x:v>
      </x:c>
      <x:c r="B31" s="11" t="str">
        <x:v>nonresident_enrollment</x:v>
      </x:c>
      <x:c r="C31" s="14" t="n">
        <x:v>1014598</x:v>
      </x:c>
      <x:c r="D31" s="18" t="n">
        <x:v>1022.2</x:v>
      </x:c>
      <x:c r="E31" s="14" t="n">
        <x:v>1022200</x:v>
      </x:c>
      <x:c r="F31" s="14" t="n">
        <x:v>-7602</x:v>
      </x:c>
      <x:c r="G31" s="88" t="n">
        <x:v>-0.7437</x:v>
      </x:c>
      <x:c r="H31" s="88" t="n">
        <x:v>1</x:v>
      </x:c>
      <x:c r="I31" s="11" t="str">
        <x:v>PASS</x:v>
      </x:c>
      <x:c r="J31" s="11" t="str">
        <x:v>final</x:v>
      </x:c>
    </x:row>
    <x:row r="32">
      <x:c r="A32" s="90" t="n">
        <x:v>2023</x:v>
      </x:c>
      <x:c r="B32" s="11" t="str">
        <x:v>undergraduate_nonresident</x:v>
      </x:c>
      <x:c r="C32" s="14" t="n">
        <x:v>456644</x:v>
      </x:c>
      <x:c r="D32" s="18" t="n">
        <x:v>459.6</x:v>
      </x:c>
      <x:c r="E32" s="14" t="n">
        <x:v>459600</x:v>
      </x:c>
      <x:c r="F32" s="14" t="n">
        <x:v>-2956</x:v>
      </x:c>
      <x:c r="G32" s="88" t="n">
        <x:v>-0.6432</x:v>
      </x:c>
      <x:c r="H32" s="88" t="n">
        <x:v>1</x:v>
      </x:c>
      <x:c r="I32" s="11" t="str">
        <x:v>PASS</x:v>
      </x:c>
      <x:c r="J32" s="11" t="str">
        <x:v>final</x:v>
      </x:c>
    </x:row>
    <x:row r="33">
      <x:c r="A33" s="90" t="n">
        <x:v>2023</x:v>
      </x:c>
      <x:c r="B33" s="11" t="str">
        <x:v>graduate_nonresident</x:v>
      </x:c>
      <x:c r="C33" s="14" t="n">
        <x:v>557954</x:v>
      </x:c>
      <x:c r="D33" s="18" t="n">
        <x:v>562.6</x:v>
      </x:c>
      <x:c r="E33" s="14" t="n">
        <x:v>562600</x:v>
      </x:c>
      <x:c r="F33" s="14" t="n">
        <x:v>-4646</x:v>
      </x:c>
      <x:c r="G33" s="88" t="n">
        <x:v>-0.8258</x:v>
      </x:c>
      <x:c r="H33" s="88" t="n">
        <x:v>1</x:v>
      </x:c>
      <x:c r="I33" s="11" t="str">
        <x:v>PASS</x:v>
      </x:c>
      <x:c r="J33" s="11" t="str">
        <x:v>final</x:v>
      </x:c>
    </x:row>
    <x:row r="34">
      <x:c r="A34" s="90" t="n">
        <x:v>2024</x:v>
      </x:c>
      <x:c r="B34" s="11" t="str">
        <x:v>total_enrollment</x:v>
      </x:c>
      <x:c r="C34" s="14" t="n">
        <x:v>19659633</x:v>
      </x:c>
      <x:c r="D34" s="18" t="n">
        <x:v>19659.6</x:v>
      </x:c>
      <x:c r="E34" s="14" t="n">
        <x:v>19659600</x:v>
      </x:c>
      <x:c r="F34" s="14" t="n">
        <x:v>33</x:v>
      </x:c>
      <x:c r="G34" s="88" t="n">
        <x:v>0.0002</x:v>
      </x:c>
      <x:c r="H34" s="88" t="n">
        <x:v>0.02</x:v>
      </x:c>
      <x:c r="I34" s="11" t="str">
        <x:v>PASS</x:v>
      </x:c>
      <x:c r="J34" s="11" t="str">
        <x:v>provisional</x:v>
      </x:c>
    </x:row>
    <x:row r="35">
      <x:c r="A35" s="90" t="n">
        <x:v>2024</x:v>
      </x:c>
      <x:c r="B35" s="11" t="str">
        <x:v>nonresident_enrollment</x:v>
      </x:c>
      <x:c r="C35" s="14" t="n">
        <x:v>1044137</x:v>
      </x:c>
      <x:c r="D35" s="18" t="n">
        <x:v>1047.1</x:v>
      </x:c>
      <x:c r="E35" s="14" t="n">
        <x:v>1047100</x:v>
      </x:c>
      <x:c r="F35" s="14" t="n">
        <x:v>-2963</x:v>
      </x:c>
      <x:c r="G35" s="88" t="n">
        <x:v>-0.283</x:v>
      </x:c>
      <x:c r="H35" s="88" t="n">
        <x:v>1</x:v>
      </x:c>
      <x:c r="I35" s="11" t="str">
        <x:v>PASS</x:v>
      </x:c>
      <x:c r="J35" s="11" t="str">
        <x:v>provisional</x:v>
      </x:c>
    </x:row>
    <x:row r="36">
      <x:c r="A36" s="90" t="n">
        <x:v>2024</x:v>
      </x:c>
      <x:c r="B36" s="11" t="str">
        <x:v>undergraduate_nonresident</x:v>
      </x:c>
      <x:c r="C36" s="14" t="n">
        <x:v>488236</x:v>
      </x:c>
      <x:c r="D36" s="18" t="n">
        <x:v>490.9</x:v>
      </x:c>
      <x:c r="E36" s="14" t="n">
        <x:v>490900</x:v>
      </x:c>
      <x:c r="F36" s="14" t="n">
        <x:v>-2664</x:v>
      </x:c>
      <x:c r="G36" s="88" t="n">
        <x:v>-0.5427</x:v>
      </x:c>
      <x:c r="H36" s="88" t="n">
        <x:v>1</x:v>
      </x:c>
      <x:c r="I36" s="11" t="str">
        <x:v>PASS</x:v>
      </x:c>
      <x:c r="J36" s="11" t="str">
        <x:v>provisional</x:v>
      </x:c>
    </x:row>
    <x:row r="37">
      <x:c r="A37" s="90" t="n">
        <x:v>2024</x:v>
      </x:c>
      <x:c r="B37" s="11" t="str">
        <x:v>graduate_nonresident</x:v>
      </x:c>
      <x:c r="C37" s="14" t="n">
        <x:v>555901</x:v>
      </x:c>
      <x:c r="D37" s="18" t="n">
        <x:v>556.1</x:v>
      </x:c>
      <x:c r="E37" s="14" t="n">
        <x:v>556100</x:v>
      </x:c>
      <x:c r="F37" s="14" t="n">
        <x:v>-199</x:v>
      </x:c>
      <x:c r="G37" s="88" t="n">
        <x:v>-0.0358</x:v>
      </x:c>
      <x:c r="H37" s="88" t="n">
        <x:v>1</x:v>
      </x:c>
      <x:c r="I37" s="11" t="str">
        <x:v>PASS</x:v>
      </x:c>
      <x:c r="J37" s="11" t="str">
        <x:v>provisional</x:v>
      </x:c>
    </x:row>
    <x:row r="40">
      <x:c r="A40" s="70" t="str">
        <x:v>Illustrative high-priority institution review items</x:v>
      </x:c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</x:row>
    <x:row r="41">
      <x:c r="A41" s="5" t="str">
        <x:v>UNITID</x:v>
      </x:c>
      <x:c r="B41" s="5" t="str">
        <x:v>Institution</x:v>
      </x:c>
      <x:c r="C41" s="5" t="str">
        <x:v>State</x:v>
      </x:c>
      <x:c r="D41" s="5" t="str">
        <x:v>Control</x:v>
      </x:c>
      <x:c r="E41" s="5" t="str">
        <x:v>Status</x:v>
      </x:c>
      <x:c r="F41" s="5" t="str">
        <x:v>2023</x:v>
      </x:c>
      <x:c r="G41" s="5" t="str">
        <x:v>2024</x:v>
      </x:c>
      <x:c r="H41" s="5" t="str">
        <x:v>Change</x:v>
      </x:c>
      <x:c r="I41" s="5" t="str">
        <x:v>Pct change</x:v>
      </x:c>
      <x:c r="J41" s="5" t="str">
        <x:v>Flag 2023</x:v>
      </x:c>
      <x:c r="K41" s="5" t="str">
        <x:v>Flag 2024</x:v>
      </x:c>
      <x:c r="L41" s="5" t="str">
        <x:v>Priority</x:v>
      </x:c>
      <x:c r="M41" s="5" t="str">
        <x:v>Review reason</x:v>
      </x:c>
    </x:row>
    <x:row r="42">
      <x:c r="A42" t="str">
        <x:v>156541</x:v>
      </x:c>
      <x:c r="B42" t="str">
        <x:v>University of the Cumberlands</x:v>
      </x:c>
      <x:c r="C42" t="str">
        <x:v>KY</x:v>
      </x:c>
      <x:c r="D42" t="str">
        <x:v>Private nonprofit</x:v>
      </x:c>
      <x:c r="E42" t="str">
        <x:v>Continuing</x:v>
      </x:c>
      <x:c r="F42" s="20" t="n">
        <x:v>0</x:v>
      </x:c>
      <x:c r="G42" s="20" t="n">
        <x:v>4616</x:v>
      </x:c>
      <x:c r="H42" s="20" t="n">
        <x:v>4616</x:v>
      </x:c>
      <x:c r="I42" s="72"/>
      <x:c r="J42" t="str">
        <x:v>R</x:v>
      </x:c>
      <x:c r="K42" t="str">
        <x:v>R</x:v>
      </x:c>
      <x:c r="L42" t="str">
        <x:v>high</x:v>
      </x:c>
      <x:c r="M42" s="27" t="str">
        <x:v>absolute change is at least 1,000 students | zero/nonzero discontinuity conflicts with recent history</x:v>
      </x:c>
    </x:row>
    <x:row r="43">
      <x:c r="A43" t="str">
        <x:v>247834</x:v>
      </x:c>
      <x:c r="B43" t="str">
        <x:v>Collin County Community College District</x:v>
      </x:c>
      <x:c r="C43" t="str">
        <x:v>TX</x:v>
      </x:c>
      <x:c r="D43" t="str">
        <x:v>Public</x:v>
      </x:c>
      <x:c r="E43" t="str">
        <x:v>Continuing</x:v>
      </x:c>
      <x:c r="F43" s="20" t="n">
        <x:v>433</x:v>
      </x:c>
      <x:c r="G43" s="20" t="n">
        <x:v>2689</x:v>
      </x:c>
      <x:c r="H43" s="20" t="n">
        <x:v>2256</x:v>
      </x:c>
      <x:c r="I43" s="72" t="n">
        <x:v>521.02</x:v>
      </x:c>
      <x:c r="J43" t="str">
        <x:v>R</x:v>
      </x:c>
      <x:c r="K43" t="str">
        <x:v>R</x:v>
      </x:c>
      <x:c r="L43" t="str">
        <x:v>high</x:v>
      </x:c>
      <x:c r="M43" s="27" t="str">
        <x:v>absolute change is at least 1,000 students | percentage change is at least 100% from a baseline of 100+</x:v>
      </x:c>
    </x:row>
    <x:row r="44">
      <x:c r="A44" t="str">
        <x:v>132709</x:v>
      </x:c>
      <x:c r="B44" t="str">
        <x:v>Broward College</x:v>
      </x:c>
      <x:c r="C44" t="str">
        <x:v>FL</x:v>
      </x:c>
      <x:c r="D44" t="str">
        <x:v>Public</x:v>
      </x:c>
      <x:c r="E44" t="str">
        <x:v>Continuing</x:v>
      </x:c>
      <x:c r="F44" s="20" t="n">
        <x:v>3369</x:v>
      </x:c>
      <x:c r="G44" s="20" t="n">
        <x:v>5374</x:v>
      </x:c>
      <x:c r="H44" s="20" t="n">
        <x:v>2005</x:v>
      </x:c>
      <x:c r="I44" s="72" t="n">
        <x:v>59.51</x:v>
      </x:c>
      <x:c r="J44" t="str">
        <x:v>R</x:v>
      </x:c>
      <x:c r="K44" t="str">
        <x:v>R</x:v>
      </x:c>
      <x:c r="L44" t="str">
        <x:v>high</x:v>
      </x:c>
      <x:c r="M44" s="27" t="str">
        <x:v>absolute change is at least 1,000 students | percentage change is at least 50% from a baseline of 100+</x:v>
      </x:c>
    </x:row>
    <x:row r="45">
      <x:c r="A45" t="str">
        <x:v>135717</x:v>
      </x:c>
      <x:c r="B45" t="str">
        <x:v>Miami Dade College</x:v>
      </x:c>
      <x:c r="C45" t="str">
        <x:v>FL</x:v>
      </x:c>
      <x:c r="D45" t="str">
        <x:v>Public</x:v>
      </x:c>
      <x:c r="E45" t="str">
        <x:v>Continuing</x:v>
      </x:c>
      <x:c r="F45" s="20" t="n">
        <x:v>2947</x:v>
      </x:c>
      <x:c r="G45" s="20" t="n">
        <x:v>4405</x:v>
      </x:c>
      <x:c r="H45" s="20" t="n">
        <x:v>1458</x:v>
      </x:c>
      <x:c r="I45" s="72" t="n">
        <x:v>49.47</x:v>
      </x:c>
      <x:c r="J45" t="str">
        <x:v>R</x:v>
      </x:c>
      <x:c r="K45" t="str">
        <x:v>R</x:v>
      </x:c>
      <x:c r="L45" t="str">
        <x:v>high</x:v>
      </x:c>
      <x:c r="M45" s="27" t="str">
        <x:v>absolute change is at least 1,000 students | percentage change is at least 25% from a baseline of 100+</x:v>
      </x:c>
    </x:row>
  </x:sheetData>
  <x:mergeCells>
    <x:mergeCell ref="A1:J2"/>
    <x:mergeCell ref="A4:D4"/>
    <x:mergeCell ref="A12:J12"/>
    <x:mergeCell ref="A40:M40"/>
  </x:mergeCells>
  <x:conditionalFormatting sqref="G8:G8">
    <x:cfRule type="expression" dxfId="2" priority="1">
      <x:formula>G8="PASS"</x:formula>
    </x:cfRule>
    <x:cfRule type="expression" dxfId="3" priority="2">
      <x:formula>G8&lt;&gt;"PASS"</x:formula>
    </x:cfRule>
  </x:conditionalFormatting>
  <x:conditionalFormatting sqref="L42:L45">
    <x:cfRule type="expression" dxfId="4" priority="3">
      <x:formula>L42="high"</x:formula>
    </x:cfRule>
  </x:conditionalFormatting>
  <x:conditionalFormatting sqref="I14:I37">
    <x:cfRule type="expression" dxfId="8" priority="4">
      <x:formula>I14="PASS"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6687334d3d403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0" hidden="0" customWidth="1"/>
    <x:col min="5" max="5" width="36" hidden="0" customWidth="1"/>
    <x:col min="6" max="6" width="24" hidden="0" customWidth="1"/>
    <x:col min="7" max="7" width="40" hidden="0" customWidth="1"/>
    <x:col min="8" max="8" width="44" hidden="0" customWidth="1"/>
    <x:col min="9" max="9" width="14" hidden="0" customWidth="1"/>
    <x:col min="10" max="10" width="44" hidden="0" customWidth="1"/>
  </x:cols>
  <x:sheetData>
    <x:row r="1" ht="30" customHeight="1">
      <x:c r="A1" s="26" t="str">
        <x:v>resource_id</x:v>
      </x:c>
      <x:c r="B1" s="26" t="str">
        <x:v>title</x:v>
      </x:c>
      <x:c r="C1" s="26" t="str">
        <x:v>publisher</x:v>
      </x:c>
      <x:c r="D1" s="26" t="str">
        <x:v>resource_type</x:v>
      </x:c>
      <x:c r="E1" s="26" t="str">
        <x:v>scope</x:v>
      </x:c>
      <x:c r="F1" s="26" t="str">
        <x:v>update_pattern</x:v>
      </x:c>
      <x:c r="G1" s="26" t="str">
        <x:v>project_role</x:v>
      </x:c>
      <x:c r="H1" s="26" t="str">
        <x:v>url</x:v>
      </x:c>
      <x:c r="I1" s="26" t="str">
        <x:v>last_checked</x:v>
      </x:c>
      <x:c r="J1" s="26" t="str">
        <x:v>status_note</x:v>
      </x:c>
    </x:row>
    <x:row r="2">
      <x:c r="A2" s="27" t="str">
        <x:v>ipeds_complete_data</x:v>
      </x:c>
      <x:c r="B2" s="27" t="str">
        <x:v>IPEDS Complete Data Files</x:v>
      </x:c>
      <x:c r="C2" s="27" t="str">
        <x:v>NCES</x:v>
      </x:c>
      <x:c r="D2" s="27" t="str">
        <x:v>Data access</x:v>
      </x:c>
      <x:c r="E2" s="27" t="str">
        <x:v>Institution-level IPEDS downloadable tables and data dictionaries</x:v>
      </x:c>
      <x:c r="F2" s="27" t="str">
        <x:v>Annual and rolling releases</x:v>
      </x:c>
      <x:c r="G2" s="27" t="str">
        <x:v>Primary source discovery and reproducible collection</x:v>
      </x:c>
      <x:c r="H2" s="27" t="str">
        <x:v>https://nces.ed.gov/ipeds/help/complete-data-files</x:v>
      </x:c>
      <x:c r="I2" s="27" t="str">
        <x:v>2026-10-13</x:v>
      </x:c>
      <x:c r="J2" s="27" t="str">
        <x:v>Authoritative access point for complete-data files</x:v>
      </x:c>
    </x:row>
    <x:row r="3">
      <x:c r="A3" s="27" t="str">
        <x:v>ipeds_release_schedule</x:v>
      </x:c>
      <x:c r="B3" s="27" t="str">
        <x:v>IPEDS Data Release Schedule</x:v>
      </x:c>
      <x:c r="C3" s="27" t="str">
        <x:v>NCES</x:v>
      </x:c>
      <x:c r="D3" s="27" t="str">
        <x:v>Release schedule</x:v>
      </x:c>
      <x:c r="E3" s="27" t="str">
        <x:v>Survey-component publication timing and release sequence</x:v>
      </x:c>
      <x:c r="F3" s="27" t="str">
        <x:v>Periodic</x:v>
      </x:c>
      <x:c r="G3" s="27" t="str">
        <x:v>Source-freshness and next-release monitoring</x:v>
      </x:c>
      <x:c r="H3" s="27" t="str">
        <x:v>https://nces.ed.gov/ipeds/survey-components/data-release-schedule</x:v>
      </x:c>
      <x:c r="I3" s="27" t="str">
        <x:v>2026-10-13</x:v>
      </x:c>
      <x:c r="J3" s="27" t="str">
        <x:v>Used to distinguish collection timing from publication timing</x:v>
      </x:c>
    </x:row>
    <x:row r="4">
      <x:c r="A4" s="27" t="str">
        <x:v>ipeds_collection_timing</x:v>
      </x:c>
      <x:c r="B4" s="27" t="str">
        <x:v>Timing of IPEDS Data Collection</x:v>
      </x:c>
      <x:c r="C4" s="27" t="str">
        <x:v>NCES</x:v>
      </x:c>
      <x:c r="D4" s="27" t="str">
        <x:v>Methodology</x:v>
      </x:c>
      <x:c r="E4" s="27" t="str">
        <x:v>IPEDS collection cycle and reporting-period timing</x:v>
      </x:c>
      <x:c r="F4" s="27" t="str">
        <x:v>Periodic</x:v>
      </x:c>
      <x:c r="G4" s="27" t="str">
        <x:v>Interpret data year collection cycle and release vintage</x:v>
      </x:c>
      <x:c r="H4" s="27" t="str">
        <x:v>https://nces.ed.gov/ipeds/use-the-data/timing-of-ipeds-data-collection</x:v>
      </x:c>
      <x:c r="I4" s="27" t="str">
        <x:v>2026-10-13</x:v>
      </x:c>
      <x:c r="J4" s="27" t="str">
        <x:v>Methodological timing reference</x:v>
      </x:c>
    </x:row>
    <x:row r="5">
      <x:c r="A5" s="27" t="str">
        <x:v>digest_306_10</x:v>
      </x:c>
      <x:c r="B5" s="27" t="str">
        <x:v>Digest of Education Statistics 2025 Table 306.10</x:v>
      </x:c>
      <x:c r="C5" s="27" t="str">
        <x:v>NCES</x:v>
      </x:c>
      <x:c r="D5" s="27" t="str">
        <x:v>Benchmark table</x:v>
      </x:c>
      <x:c r="E5" s="27" t="str">
        <x:v>National fall enrollment at degree-granting postsecondary institutions by selected characteristics and year</x:v>
      </x:c>
      <x:c r="F5" s="27" t="str">
        <x:v>Annual</x:v>
      </x:c>
      <x:c r="G5" s="27" t="str">
        <x:v>Independent national benchmark and release-vintage audit</x:v>
      </x:c>
      <x:c r="H5" s="27" t="str">
        <x:v>https://nces.ed.gov/programs/digest/d25/tables/dt25_306.10.asp</x:v>
      </x:c>
      <x:c r="I5" s="27" t="str">
        <x:v>2026-10-13</x:v>
      </x:c>
      <x:c r="J5" s="27" t="str">
        <x:v>March 2026 publication vintage; 2024 values provisional</x:v>
      </x:c>
    </x:row>
    <x:row r="6">
      <x:c r="A6" s="27" t="str">
        <x:v>ef2024a</x:v>
      </x:c>
      <x:c r="B6" s="27" t="str">
        <x:v>IPEDS Fall Enrollment 2024 Complete Data File</x:v>
      </x:c>
      <x:c r="C6" s="27" t="str">
        <x:v>NCES</x:v>
      </x:c>
      <x:c r="D6" s="27" t="str">
        <x:v>Raw data archive</x:v>
      </x:c>
      <x:c r="E6" s="27" t="str">
        <x:v>Institution-level fall enrollment by race/ethnicity gender attendance status and level</x:v>
      </x:c>
      <x:c r="F6" s="27" t="str">
        <x:v>Annual</x:v>
      </x:c>
      <x:c r="G6" s="27" t="str">
        <x:v>Latest primary enrollment source used by the analysis</x:v>
      </x:c>
      <x:c r="H6" s="27" t="str">
        <x:v>https://nces.ed.gov/ipeds/complete-data-files/EF2024A.zip</x:v>
      </x:c>
      <x:c r="I6" s="27" t="str">
        <x:v>2026-10-13</x:v>
      </x:c>
      <x:c r="J6" s="27" t="str">
        <x:v>Current project treats Fall 2024 as provisional</x:v>
      </x:c>
    </x:row>
    <x:row r="7">
      <x:c r="A7" s="27" t="str">
        <x:v>hd2024</x:v>
      </x:c>
      <x:c r="B7" s="27" t="str">
        <x:v>IPEDS Institutional Directory 2024 Complete Data File</x:v>
      </x:c>
      <x:c r="C7" s="27" t="str">
        <x:v>NCES</x:v>
      </x:c>
      <x:c r="D7" s="27" t="str">
        <x:v>Raw data archive</x:v>
      </x:c>
      <x:c r="E7" s="27" t="str">
        <x:v>Institution name geography control degree-granting and First Look/Digest universe fields</x:v>
      </x:c>
      <x:c r="F7" s="27" t="str">
        <x:v>Annual</x:v>
      </x:c>
      <x:c r="G7" s="27" t="str">
        <x:v>Same-year institution metadata and analytic-universe join</x:v>
      </x:c>
      <x:c r="H7" s="27" t="str">
        <x:v>https://nces.ed.gov/ipeds/complete-data-files/HD2024.zip</x:v>
      </x:c>
      <x:c r="I7" s="27" t="str">
        <x:v>2026-10-13</x:v>
      </x:c>
      <x:c r="J7" s="27" t="str">
        <x:v>Joined to Fall Enrollment by UNITID</x:v>
      </x:c>
    </x:row>
    <x:row r="8">
      <x:c r="A8" s="27" t="str">
        <x:v>portal_national_data</x:v>
      </x:c>
      <x:c r="B8" s="27" t="str">
        <x:v>Higher Ed Immigration Portal National Data</x:v>
      </x:c>
      <x:c r="C8" s="27" t="str">
        <x:v>Presidents' Alliance / Higher Ed Immigration Portal</x:v>
      </x:c>
      <x:c r="D8" s="27" t="str">
        <x:v>Portal data</x:v>
      </x:c>
      <x:c r="E8" s="27" t="str">
        <x:v>National data for undocumented immigrant-origin and international students in higher education</x:v>
      </x:c>
      <x:c r="F8" s="27" t="str">
        <x:v>Living resource</x:v>
      </x:c>
      <x:c r="G8" s="27" t="str">
        <x:v>Contextual comparison and model for public data presentation; not an input to the IPEDS series</x:v>
      </x:c>
      <x:c r="H8" s="27" t="str">
        <x:v>https://www.higheredimmigrationportal.org/national/national-data/</x:v>
      </x:c>
      <x:c r="I8" s="27" t="str">
        <x:v>2026-10-13</x:v>
      </x:c>
      <x:c r="J8" s="27" t="str">
        <x:v>Current Portal page links to 2026 reports and population-specific data</x:v>
      </x:c>
    </x:row>
    <x:row r="9">
      <x:c r="A9" s="27" t="str">
        <x:v>portal_methodology</x:v>
      </x:c>
      <x:c r="B9" s="27" t="str">
        <x:v>Higher Ed Immigration Portal Methodology</x:v>
      </x:c>
      <x:c r="C9" s="27" t="str">
        <x:v>Presidents' Alliance / Higher Ed Immigration Portal</x:v>
      </x:c>
      <x:c r="D9" s="27" t="str">
        <x:v>Portal methodology</x:v>
      </x:c>
      <x:c r="E9" s="27" t="str">
        <x:v>Sources and methods used for national and state-level Portal data</x:v>
      </x:c>
      <x:c r="F9" s="27" t="str">
        <x:v>Living resource</x:v>
      </x:c>
      <x:c r="G9" s="27" t="str">
        <x:v>Methodology reference and model for documenting source limitations; not an input to the IPEDS series</x:v>
      </x:c>
      <x:c r="H9" s="27" t="str">
        <x:v>https://www.higheredimmigrationportal.org/methodology/</x:v>
      </x:c>
      <x:c r="I9" s="27" t="str">
        <x:v>2026-10-13</x:v>
      </x:c>
      <x:c r="J9" s="27" t="str">
        <x:v>Documents partner data sources and population-specific methodology</x:v>
      </x:c>
    </x:row>
    <x:row r="10">
      <x:c r="A10" s="27" t="str">
        <x:v>undocumented_higher_ed_2026</x:v>
      </x:c>
      <x:c r="B10" s="27" t="str">
        <x:v>Undocumented Students in U.S. Higher Education 2026</x:v>
      </x:c>
      <x:c r="C10" s="27" t="str">
        <x:v>Presidents' Alliance / Higher Ed Immigration Portal</x:v>
      </x:c>
      <x:c r="D10" s="27" t="str">
        <x:v>Recurring report</x:v>
      </x:c>
      <x:c r="E10" s="27" t="str">
        <x:v>Updated estimates of undocumented students enrolled in U.S. higher education</x:v>
      </x:c>
      <x:c r="F10" s="27" t="str">
        <x:v>Recurring</x:v>
      </x:c>
      <x:c r="G10" s="27" t="str">
        <x:v>Related recurring research product named in the target role; not an input to the IPEDS series</x:v>
      </x:c>
      <x:c r="H10" s="27" t="str">
        <x:v>https://www.higheredimmigrationportal.org/research/undocumented-students-in-u-s-higher-education-2/</x:v>
      </x:c>
      <x:c r="I10" s="27" t="str">
        <x:v>2026-10-13</x:v>
      </x:c>
      <x:c r="J10" s="27" t="str">
        <x:v>Posted May 28 2026 with updated national estimates</x:v>
      </x:c>
    </x:row>
    <x:row r="11">
      <x:c r="A11" s="27" t="str">
        <x:v>immigrant_origin_2026</x:v>
      </x:c>
      <x:c r="B11" s="27" t="str">
        <x:v>Securing America's Talent Pipeline: How Immigrant-Origin Students Power Higher Education</x:v>
      </x:c>
      <x:c r="C11" s="27" t="str">
        <x:v>Presidents' Alliance / Higher Ed Immigration Portal</x:v>
      </x:c>
      <x:c r="D11" s="27" t="str">
        <x:v>Recurring report</x:v>
      </x:c>
      <x:c r="E11" s="27" t="str">
        <x:v>2023 immigrant-origin student enrollment and higher-education workforce context</x:v>
      </x:c>
      <x:c r="F11" s="27" t="str">
        <x:v>Recurring</x:v>
      </x:c>
      <x:c r="G11" s="27" t="str">
        <x:v>Latest immigrant-origin research product relevant to the target role; not an input to the IPEDS series</x:v>
      </x:c>
      <x:c r="H11" s="27" t="str">
        <x:v>https://www.higheredimmigrationportal.org/research/securing-americas-talent-pipeline/</x:v>
      </x:c>
      <x:c r="I11" s="27" t="str">
        <x:v>2026-10-13</x:v>
      </x:c>
      <x:c r="J11" s="27" t="str">
        <x:v>Posted May 5 2026; analysis commissioned from Migration Policy Institute</x:v>
      </x:c>
    </x:row>
    <x:row r="12">
      <x:c r="A12" s="27" t="str">
        <x:v>undocumented_hs_graduates_2026</x:v>
      </x:c>
      <x:c r="B12" s="27" t="str">
        <x:v>A Generation Threatened: Undocumented High School Students Graduate Amidst Uncertain National Climate</x:v>
      </x:c>
      <x:c r="C12" s="27" t="str">
        <x:v>Presidents' Alliance / Higher Ed Immigration Portal</x:v>
      </x:c>
      <x:c r="D12" s="27" t="str">
        <x:v>Recurring report</x:v>
      </x:c>
      <x:c r="E12" s="27" t="str">
        <x:v>Estimates of undocumented students reaching and graduating from U.S. high schools each year</x:v>
      </x:c>
      <x:c r="F12" s="27" t="str">
        <x:v>Recurring</x:v>
      </x:c>
      <x:c r="G12" s="27" t="str">
        <x:v>Latest high-school-graduate research product named in the target role; not an input to the IPEDS series</x:v>
      </x:c>
      <x:c r="H12" s="27" t="str">
        <x:v>https://www.higheredimmigrationportal.org/research/a-generation-threatened-undocumented-high-school-students-graduate-amidst-uncertain-national-climate/</x:v>
      </x:c>
      <x:c r="I12" s="27" t="str">
        <x:v>2026-10-13</x:v>
      </x:c>
      <x:c r="J12" s="27" t="str">
        <x:v>Posted February 3 2026; estimates approximately 75000 undocumented graduates annually</x:v>
      </x:c>
    </x:row>
  </x:sheetData>
  <x:pageMargins left="0.7" right="0.7" top="0.75" bottom="0.75" header="0.3" footer="0.3"/>
  <x:tableParts count="1">
    <x:tablePart xmlns:r="http://schemas.openxmlformats.org/officeDocument/2006/relationships" r:id="R07245e60da9343c0"/>
  </x:tableParts>
</x:worksheet>
</file>